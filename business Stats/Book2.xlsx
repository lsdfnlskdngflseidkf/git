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1467B2AF-D11A-423F-A1DE-ACDD7AF593A5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95" i="3" l="1"/>
  <c r="O296" i="3"/>
  <c r="O297" i="3"/>
  <c r="O298" i="3"/>
  <c r="O294" i="3"/>
  <c r="L296" i="3"/>
  <c r="L297" i="3" s="1"/>
  <c r="L298" i="3" s="1"/>
  <c r="L295" i="3"/>
  <c r="L294" i="3"/>
  <c r="C309" i="3"/>
  <c r="C305" i="3"/>
  <c r="C306" i="3"/>
  <c r="C304" i="3"/>
  <c r="C300" i="3"/>
  <c r="C301" i="3"/>
  <c r="C302" i="3"/>
  <c r="B298" i="3"/>
  <c r="C293" i="3"/>
  <c r="C294" i="3" s="1"/>
  <c r="C295" i="3" s="1"/>
  <c r="C296" i="3" s="1"/>
  <c r="C297" i="3" s="1"/>
  <c r="J267" i="3"/>
  <c r="J262" i="3"/>
  <c r="J261" i="3"/>
  <c r="J264" i="3" s="1"/>
  <c r="J260" i="3"/>
  <c r="K258" i="3"/>
  <c r="J258" i="3"/>
  <c r="K257" i="3"/>
  <c r="J257" i="3"/>
  <c r="K256" i="3"/>
  <c r="J256" i="3"/>
  <c r="J254" i="3"/>
  <c r="K251" i="3"/>
  <c r="K252" i="3" s="1"/>
  <c r="K253" i="3" s="1"/>
  <c r="K249" i="3"/>
  <c r="K250" i="3" s="1"/>
  <c r="D242" i="3"/>
  <c r="D244" i="3"/>
  <c r="D247" i="3" s="1"/>
  <c r="C251" i="3" s="1"/>
  <c r="D243" i="3"/>
  <c r="J205" i="3"/>
  <c r="B200" i="3"/>
  <c r="J156" i="3"/>
  <c r="J155" i="3"/>
  <c r="J157" i="3" s="1"/>
  <c r="K164" i="3" s="1"/>
  <c r="J154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J152" i="3" s="1"/>
  <c r="J153" i="3" s="1"/>
  <c r="K163" i="3" s="1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J151" i="3" s="1"/>
  <c r="K162" i="3" s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<sst xmlns="http://schemas.openxmlformats.org/spreadsheetml/2006/main" count="244" uniqueCount="130">
  <si>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</si>
  <si>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</si>
  <si>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</si>
  <si>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</si>
  <si>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</si>
  <si>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</si>
  <si>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</si>
  <si>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</si>
  <si>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</si>
  <si>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</si>
  <si>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</si>
  <si>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</si>
  <si>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</si>
  <si>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</si>
  <si>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</si>
  <si>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</si>
  <si>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</si>
  <si>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</si>
  <si>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</si>
  <si>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</si>
  <si>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</si>
  <si>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</si>
  <si>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</si>
  <si>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</si>
  <si>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</si>
  <si>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</si>
  <si>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</si>
  <si>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</si>
  <si>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</si>
  <si>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</si>
  <si>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</si>
  <si>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</si>
  <si>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</si>
  <si>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</si>
  <si>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</si>
  <si>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</si>
  <si>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</si>
  <si>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</si>
  <si>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</si>
  <si>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</si>
  <si>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</si>
  <si>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</si>
  <si>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</si>
  <si>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</si>
  <si>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</si>
  <si>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</si>
  <si>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</si>
  <si>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</si>
  <si>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</si>
  <si>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</si>
  <si>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</si>
  <si>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</si>
  <si>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</si>
  <si>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</si>
  <si>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</si>
  <si>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</si>
  <si>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</si>
  <si>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</si>
  <si>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</si>
  <si>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</si>
  <si>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</si>
  <si>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</si>
  <si>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</si>
  <si>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</si>
  <si>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</si>
  <si>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</si>
  <si>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</si>
  <si>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</si>
  <si>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</si>
  <si>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</si>
  <si>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</si>
  <si>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</si>
  <si>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</si>
  <si>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</si>
  <si>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</si>
  <si>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</si>
  <si>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</si>
  <si>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</si>
  <si>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</si>
  <si>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</si>
  <si>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</si>
  <si>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</si>
  <si>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</si>
  <si>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</si>
  <si>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</si>
  <si>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</si>
  <si>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</si>
  <si>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</si>
  <si>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</si>
  <si>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</si>
  <si>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</si>
  <si>
    <t>Find out the bowley's coff of skewness from the following data</t>
  </si>
  <si>
    <t>X:</t>
  </si>
  <si>
    <t>10,15,9,6,8,10,16,18,19,16,15,10</t>
  </si>
  <si>
    <t>q3</t>
  </si>
  <si>
    <t>q1</t>
  </si>
  <si>
    <t>q2</t>
  </si>
  <si>
    <t>sk</t>
  </si>
  <si>
    <t>Calculate bowley's coefficient of skewness of the following data</t>
  </si>
  <si>
    <t>class:</t>
  </si>
  <si>
    <t>freq:</t>
  </si>
  <si>
    <t>sk=</t>
  </si>
  <si>
    <t>freq</t>
  </si>
  <si>
    <t>cf</t>
  </si>
  <si>
    <t>q1 class</t>
  </si>
  <si>
    <t>q2 class</t>
  </si>
  <si>
    <t>q3 class</t>
  </si>
  <si>
    <t>Sk</t>
  </si>
  <si>
    <t>Calculate the voeff of skewness form the following data</t>
  </si>
  <si>
    <t>p10 class</t>
  </si>
  <si>
    <t>p50 class</t>
  </si>
  <si>
    <t>p90 class</t>
  </si>
  <si>
    <t>p10</t>
  </si>
  <si>
    <t>l</t>
  </si>
  <si>
    <t>u</t>
  </si>
  <si>
    <t>p50</t>
  </si>
  <si>
    <t>p90</t>
  </si>
  <si>
    <t>The distribution is positively skewed</t>
  </si>
  <si>
    <t>Draw the less than freq curve and find out the median graphically</t>
  </si>
  <si>
    <t>50-60</t>
  </si>
  <si>
    <t>(N/2)th term</t>
  </si>
  <si>
    <t>Less than class</t>
  </si>
  <si>
    <t>less than 20</t>
  </si>
  <si>
    <t>less than 30</t>
  </si>
  <si>
    <t>less than 40</t>
  </si>
  <si>
    <t>less than 50</t>
  </si>
  <si>
    <t>less than 60</t>
  </si>
  <si>
    <t>Class</t>
  </si>
  <si>
    <t>frequency</t>
  </si>
  <si>
    <t>The median of the above distribution is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</si>
</sst>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/>
    <xf numFmtId="17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Sheet3!$O$293</c:f>
              <c:strCache>
                <c:ptCount val="1"/>
                <c:pt idx="0">
                  <c:v>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Sheet3!$N$294:$N$298</c:f>
              <c:strCache>
                <c:ptCount val="5"/>
                <c:pt idx="0">
                  <c:v>less than 20</c:v>
                </c:pt>
                <c:pt idx="1">
                  <c:v>less than 30</c:v>
                </c:pt>
                <c:pt idx="2">
                  <c:v>less than 40</c:v>
                </c:pt>
                <c:pt idx="3">
                  <c:v>less than 50</c:v>
                </c:pt>
                <c:pt idx="4">
                  <c:v>less than 60</c:v>
                </c:pt>
              </c:strCache>
            </c:strRef>
          </c:cat>
          <c:val>
            <c:numRef>
              <c:f>Sheet3!$O$294:$O$298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24</c:v>
                </c:pt>
                <c:pt idx="3">
                  <c:v>32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D-4988-AE16-6DFA57069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782671"/>
        <c:axId val="1309781007"/>
      </c:lineChart>
      <c:catAx>
        <c:axId val="130978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781007"/>
        <c:crosses val="autoZero"/>
        <c:auto val="1"/>
        <c:lblAlgn val="ctr"/>
        <c:lblOffset val="100"/>
        <c:noMultiLvlLbl val="0"/>
      </c:catAx>
      <c:valAx>
        <c:axId val="130978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78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4762</xdr:colOff>
      <xdr:row>299</xdr:row>
      <xdr:rowOff>57150</xdr:rowOff>
    </xdr:from>
    <xdr:to>
      <xdr:col>15</xdr:col>
      <xdr:colOff>557212</xdr:colOff>
      <xdr:row>313</xdr:row>
      <xdr:rowOff>133350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1A01CA0-7E61-4B6F-AAFD-D8326373E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0.03966</cdr:x>
      <cdr:y>0.55208</cdr:y>
    </cdr:from>
    <cdr:to>
      <cdr:x>0.43646</cdr:x>
      <cdr:y>0.55556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33E530E7-B808-4BC8-83B3-E01982EEF974}"/>
            </a:ext>
          </a:extLst>
        </cdr:cNvPr>
        <cdr:cNvCxnSpPr/>
      </cdr:nvCxnSpPr>
      <cdr:spPr>
        <a:xfrm xmlns:a="http://schemas.openxmlformats.org/drawingml/2006/main" flipH="1">
          <a:off x="181335" y="1514475"/>
          <a:ext cx="1814153" cy="952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0.43646</cdr:x>
      <cdr:y>0.52778</cdr:y>
    </cdr:from>
    <cdr:to>
      <cdr:x>0.43854</cdr:x>
      <cdr:y>0.89583</cdr:y>
    </cdr:to>
    <cdr:cxnSp macro="">
      <cdr:nvCxnSpPr>
        <cdr:cNvPr id="8" name="Straight Connector 7">
          <a:extLst xmlns:a="http://schemas.openxmlformats.org/drawingml/2006/main">
            <a:ext uri="{FF2B5EF4-FFF2-40B4-BE49-F238E27FC236}">
              <a16:creationId xmlns:a16="http://schemas.microsoft.com/office/drawing/2014/main" id="{4991D3A4-57E2-489A-9BFD-06A582BC1C94}"/>
            </a:ext>
          </a:extLst>
        </cdr:cNvPr>
        <cdr:cNvCxnSpPr/>
      </cdr:nvCxnSpPr>
      <cdr:spPr>
        <a:xfrm xmlns:a="http://schemas.openxmlformats.org/drawingml/2006/main">
          <a:off x="1995488" y="1447800"/>
          <a:ext cx="9525" cy="10096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K29" sqref="A1:K29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G40" sqref="A1:G40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Q317"/>
  <sheetViews>
    <sheetView tabSelected="1" view="pageLayout" topLeftCell="A301" zoomScaleNormal="85" workbookViewId="0">
      <selection activeCell="O318" sqref="O318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  <col min="14" max="14" width="10.285156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57" t="s">
        <v>37</v>
      </c>
      <c r="L6" s="57"/>
      <c r="M6" s="57"/>
      <c r="N6" s="57"/>
    </row>
    <row r="7" spans="1:14" ht="28.5" customHeight="1" x14ac:dyDescent="0.25">
      <c r="A7" s="41">
        <v>1</v>
      </c>
      <c r="B7" s="56"/>
      <c r="C7" s="56"/>
      <c r="K7" s="57" t="s">
        <v>38</v>
      </c>
      <c r="L7" s="57"/>
      <c r="M7" s="57"/>
      <c r="N7" s="57"/>
    </row>
    <row r="8" spans="1:14" ht="21" x14ac:dyDescent="0.25">
      <c r="A8" s="36"/>
      <c r="K8" s="57" t="s">
        <v>39</v>
      </c>
      <c r="L8" s="57"/>
      <c r="M8" s="57"/>
      <c r="N8" s="57"/>
    </row>
    <row r="9" spans="1:14" ht="27" customHeight="1" x14ac:dyDescent="0.25">
      <c r="A9" s="36" t="s">
        <v>31</v>
      </c>
      <c r="K9" s="57" t="s">
        <v>46</v>
      </c>
      <c r="L9" s="57"/>
      <c r="M9" s="57"/>
      <c r="N9" s="57"/>
    </row>
    <row r="10" spans="1:14" x14ac:dyDescent="0.25">
      <c r="A10" s="37"/>
    </row>
    <row r="11" spans="1:14" ht="37.5" customHeight="1" x14ac:dyDescent="0.25">
      <c r="A11" s="38" t="s">
        <v>32</v>
      </c>
      <c r="K11" s="54" t="s">
        <v>42</v>
      </c>
      <c r="L11" s="53"/>
      <c r="M11" s="53"/>
    </row>
    <row r="12" spans="1:14" ht="23.25" x14ac:dyDescent="0.25">
      <c r="A12" s="39" t="s">
        <v>33</v>
      </c>
      <c r="K12" s="57" t="s">
        <v>48</v>
      </c>
      <c r="L12" s="57"/>
      <c r="M12" s="57"/>
      <c r="N12" s="57"/>
    </row>
    <row r="13" spans="1:14" ht="21.75" x14ac:dyDescent="0.25">
      <c r="A13" s="40"/>
      <c r="K13" s="57"/>
      <c r="L13" s="57"/>
      <c r="M13" s="57"/>
      <c r="N13" s="57"/>
    </row>
    <row r="14" spans="1:14" ht="21.75" x14ac:dyDescent="0.25">
      <c r="A14" s="40"/>
      <c r="K14" s="57" t="s">
        <v>47</v>
      </c>
      <c r="L14" s="58"/>
      <c r="M14" s="58"/>
      <c r="N14" s="58"/>
    </row>
    <row r="15" spans="1:14" x14ac:dyDescent="0.25">
      <c r="C15" s="12"/>
      <c r="D15" s="12"/>
      <c r="E15" s="12"/>
      <c r="F15" s="12"/>
      <c r="K15" s="57"/>
      <c r="L15" s="58"/>
      <c r="M15" s="58"/>
      <c r="N15" s="58"/>
    </row>
    <row r="16" spans="1:14" x14ac:dyDescent="0.25">
      <c r="B16" s="3"/>
      <c r="C16" s="3"/>
      <c r="D16" s="3"/>
      <c r="E16" s="3"/>
      <c r="F16" s="3"/>
      <c r="K16" s="53"/>
      <c r="L16" s="57"/>
      <c r="M16" s="57"/>
      <c r="N16" s="57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53"/>
      <c r="L17" s="57"/>
      <c r="M17" s="57"/>
      <c r="N17" s="57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55" t="s">
        <v>9</v>
      </c>
      <c r="C34" s="55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56"/>
      <c r="C48" s="56"/>
      <c r="K48" s="59">
        <v>1</v>
      </c>
      <c r="L48" s="59"/>
    </row>
    <row r="49" spans="1:16" ht="21" x14ac:dyDescent="0.25">
      <c r="A49" s="36"/>
      <c r="K49" s="59"/>
      <c r="L49" s="59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55" t="s">
        <v>9</v>
      </c>
      <c r="C75" s="55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53" t="s">
        <v>11</v>
      </c>
      <c r="L88" s="53"/>
      <c r="M88" s="53"/>
      <c r="N88" s="53"/>
      <c r="O88" s="53"/>
    </row>
    <row r="89" spans="2:16" x14ac:dyDescent="0.25">
      <c r="K89" s="53"/>
      <c r="L89" s="53"/>
      <c r="M89" s="53"/>
      <c r="N89" s="53"/>
      <c r="O89" s="53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44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53" t="s">
        <v>12</v>
      </c>
      <c r="L93" s="53"/>
      <c r="M93" s="53"/>
      <c r="N93" s="53"/>
      <c r="O93" s="53"/>
      <c r="P93" s="53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54" t="s">
        <v>13</v>
      </c>
      <c r="K96" s="53"/>
      <c r="N96" s="54" t="s">
        <v>17</v>
      </c>
      <c r="O96" s="54"/>
    </row>
    <row r="97" spans="2:15" x14ac:dyDescent="0.25">
      <c r="B97">
        <v>4</v>
      </c>
      <c r="J97" s="53" t="s">
        <v>14</v>
      </c>
      <c r="K97" s="53"/>
      <c r="L97" s="53"/>
      <c r="M97" s="53"/>
      <c r="N97" t="s">
        <v>1</v>
      </c>
      <c r="O97" t="s">
        <v>2</v>
      </c>
    </row>
    <row r="98" spans="2:15" x14ac:dyDescent="0.25">
      <c r="B98">
        <v>10</v>
      </c>
      <c r="J98" s="53" t="s">
        <v>15</v>
      </c>
      <c r="K98" s="53"/>
      <c r="L98" s="53"/>
      <c r="M98" s="53"/>
      <c r="N98">
        <v>2</v>
      </c>
      <c r="O98">
        <v>2</v>
      </c>
    </row>
    <row r="99" spans="2:15" x14ac:dyDescent="0.25">
      <c r="B99">
        <v>6</v>
      </c>
      <c r="J99" s="53" t="s">
        <v>16</v>
      </c>
      <c r="K99" s="53"/>
      <c r="L99" s="53"/>
      <c r="M99" s="53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53" t="s">
        <v>18</v>
      </c>
      <c r="O104" s="53"/>
    </row>
    <row r="105" spans="2:15" x14ac:dyDescent="0.25">
      <c r="N105" s="53"/>
      <c r="O105" s="53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54" t="s">
        <v>9</v>
      </c>
      <c r="L122" s="53"/>
    </row>
    <row r="123" spans="11:13" x14ac:dyDescent="0.25">
      <c r="K123" s="53" t="s">
        <v>20</v>
      </c>
      <c r="L123" s="53"/>
      <c r="M123" t="s">
        <v>21</v>
      </c>
    </row>
    <row r="135" spans="1:16" ht="15.75" thickBot="1" x14ac:dyDescent="0.3">
      <c r="A135" s="53" t="s">
        <v>0</v>
      </c>
      <c r="B135" s="53"/>
      <c r="C135" s="53"/>
      <c r="D135" s="53"/>
      <c r="E135" s="53"/>
      <c r="F135" s="53"/>
      <c r="G135" s="53"/>
      <c r="H135" s="53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45" t="s">
        <v>65</v>
      </c>
      <c r="K136" s="46" t="s">
        <v>66</v>
      </c>
      <c r="L136" s="47" t="s">
        <v>71</v>
      </c>
      <c r="M136" s="46" t="s">
        <v>67</v>
      </c>
      <c r="N136" s="46" t="s">
        <v>68</v>
      </c>
      <c r="O136" s="46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48" t="s">
        <v>70</v>
      </c>
      <c r="K137" s="49">
        <v>2</v>
      </c>
      <c r="L137" s="49">
        <v>10</v>
      </c>
      <c r="M137" s="49">
        <v>16</v>
      </c>
      <c r="N137" s="49">
        <v>10</v>
      </c>
      <c r="O137" s="49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53" t="s">
        <v>10</v>
      </c>
      <c r="B153" s="53"/>
      <c r="C153" s="53"/>
      <c r="D153" s="53"/>
      <c r="E153" s="53"/>
      <c r="F153" s="53"/>
      <c r="G153" s="53"/>
      <c r="H153" s="53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44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54" t="s">
        <v>9</v>
      </c>
      <c r="K160" s="53"/>
    </row>
    <row r="161" spans="10:15" x14ac:dyDescent="0.25">
      <c r="J161" s="53" t="s">
        <v>86</v>
      </c>
      <c r="K161" s="53"/>
      <c r="L161" s="53"/>
      <c r="M161" s="53"/>
      <c r="N161" s="53"/>
      <c r="O161" s="53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53" t="s">
        <v>90</v>
      </c>
      <c r="K185" s="53"/>
      <c r="L185" s="53"/>
      <c r="M185" s="53"/>
      <c r="N185" s="53"/>
      <c r="O185" s="53"/>
      <c r="P185" s="53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45" t="s">
        <v>1</v>
      </c>
      <c r="L187" s="46">
        <v>10</v>
      </c>
      <c r="M187" s="46">
        <v>20</v>
      </c>
      <c r="N187" s="46">
        <v>30</v>
      </c>
      <c r="O187" s="46">
        <v>40</v>
      </c>
      <c r="P187" s="52"/>
    </row>
    <row r="188" spans="1:16" ht="15.75" thickBot="1" x14ac:dyDescent="0.3">
      <c r="K188" s="48" t="s">
        <v>70</v>
      </c>
      <c r="L188" s="49">
        <v>2</v>
      </c>
      <c r="M188" s="49">
        <v>5</v>
      </c>
      <c r="N188" s="49">
        <v>3</v>
      </c>
      <c r="O188" s="49">
        <v>2</v>
      </c>
      <c r="P188" s="52"/>
    </row>
    <row r="189" spans="1:16" x14ac:dyDescent="0.25">
      <c r="K189" s="43"/>
    </row>
    <row r="190" spans="1:16" x14ac:dyDescent="0.25">
      <c r="A190" s="50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1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  <row r="236" spans="1:10" x14ac:dyDescent="0.25">
      <c r="A236" s="53" t="s">
        <v>91</v>
      </c>
      <c r="B236" s="53"/>
      <c r="C236" s="53"/>
      <c r="D236" s="53"/>
      <c r="E236" s="53"/>
      <c r="F236" s="53"/>
      <c r="G236" s="53"/>
      <c r="H236" s="53"/>
    </row>
    <row r="237" spans="1:10" x14ac:dyDescent="0.25">
      <c r="A237" t="s">
        <v>92</v>
      </c>
      <c r="B237" t="s">
        <v>93</v>
      </c>
    </row>
    <row r="239" spans="1:10" x14ac:dyDescent="0.25">
      <c r="A239" t="s">
        <v>1</v>
      </c>
    </row>
    <row r="240" spans="1:10" x14ac:dyDescent="0.25">
      <c r="A240">
        <v>10</v>
      </c>
      <c r="J240" t="s">
        <v>98</v>
      </c>
    </row>
    <row r="241" spans="1:14" x14ac:dyDescent="0.25">
      <c r="A241">
        <v>15</v>
      </c>
      <c r="I241" t="s">
        <v>99</v>
      </c>
      <c r="J241" t="s">
        <v>66</v>
      </c>
      <c r="K241" t="s">
        <v>71</v>
      </c>
      <c r="L241" t="s">
        <v>67</v>
      </c>
      <c r="M241" t="s">
        <v>68</v>
      </c>
      <c r="N241" t="s">
        <v>69</v>
      </c>
    </row>
    <row r="242" spans="1:14" x14ac:dyDescent="0.25">
      <c r="A242">
        <v>9</v>
      </c>
      <c r="C242" t="s">
        <v>95</v>
      </c>
      <c r="D242">
        <f>_xlfn.QUARTILE.EXC(A240:A251,1)</f>
        <v>9.25</v>
      </c>
      <c r="I242" t="s">
        <v>100</v>
      </c>
      <c r="J242">
        <v>2</v>
      </c>
      <c r="K242">
        <v>10</v>
      </c>
      <c r="L242">
        <v>16</v>
      </c>
      <c r="M242">
        <v>8</v>
      </c>
      <c r="N242">
        <v>3</v>
      </c>
    </row>
    <row r="243" spans="1:14" x14ac:dyDescent="0.25">
      <c r="A243">
        <v>6</v>
      </c>
      <c r="C243" t="s">
        <v>96</v>
      </c>
      <c r="D243">
        <f>_xlfn.QUARTILE.EXC(A242:A253,2)</f>
        <v>12.5</v>
      </c>
    </row>
    <row r="244" spans="1:14" x14ac:dyDescent="0.25">
      <c r="A244">
        <v>8</v>
      </c>
      <c r="C244" t="s">
        <v>94</v>
      </c>
      <c r="D244">
        <f>_xlfn.QUARTILE.EXC(A241:A252,3)</f>
        <v>16</v>
      </c>
      <c r="J244" s="1" t="s">
        <v>4</v>
      </c>
    </row>
    <row r="245" spans="1:14" x14ac:dyDescent="0.25">
      <c r="A245">
        <v>10</v>
      </c>
      <c r="J245" t="s">
        <v>101</v>
      </c>
    </row>
    <row r="246" spans="1:14" x14ac:dyDescent="0.25">
      <c r="A246">
        <v>16</v>
      </c>
    </row>
    <row r="247" spans="1:14" x14ac:dyDescent="0.25">
      <c r="A247">
        <v>18</v>
      </c>
      <c r="C247" t="s">
        <v>97</v>
      </c>
      <c r="D247">
        <f>((D244+D242)-(2*D243))/(D244-D242)</f>
        <v>3.7037037037037035E-2</v>
      </c>
    </row>
    <row r="248" spans="1:14" x14ac:dyDescent="0.25">
      <c r="A248">
        <v>19</v>
      </c>
      <c r="I248" t="s">
        <v>65</v>
      </c>
      <c r="J248" t="s">
        <v>102</v>
      </c>
      <c r="K248" t="s">
        <v>103</v>
      </c>
    </row>
    <row r="249" spans="1:14" x14ac:dyDescent="0.25">
      <c r="A249">
        <v>16</v>
      </c>
      <c r="I249" t="s">
        <v>66</v>
      </c>
      <c r="J249">
        <v>2</v>
      </c>
      <c r="K249">
        <f>J249</f>
        <v>2</v>
      </c>
    </row>
    <row r="250" spans="1:14" x14ac:dyDescent="0.25">
      <c r="A250">
        <v>15</v>
      </c>
      <c r="C250" s="1" t="s">
        <v>9</v>
      </c>
      <c r="I250" t="s">
        <v>71</v>
      </c>
      <c r="J250">
        <v>10</v>
      </c>
      <c r="K250">
        <f>K249+J250</f>
        <v>12</v>
      </c>
    </row>
    <row r="251" spans="1:14" x14ac:dyDescent="0.25">
      <c r="A251">
        <v>10</v>
      </c>
      <c r="C251" t="str">
        <f>IF(D247&gt;0,"The distribution is positively skewed",IF(D247=0,the distribution is symmetrical,the distribution is negatively skewed))</f>
        <v>The distribution is positively skewed</v>
      </c>
      <c r="I251" t="s">
        <v>67</v>
      </c>
      <c r="J251">
        <v>16</v>
      </c>
      <c r="K251">
        <f t="shared" ref="K251:K253" si="10">K250+J251</f>
        <v>28</v>
      </c>
    </row>
    <row r="252" spans="1:14" x14ac:dyDescent="0.25">
      <c r="I252" t="s">
        <v>68</v>
      </c>
      <c r="J252">
        <v>8</v>
      </c>
      <c r="K252">
        <f t="shared" si="10"/>
        <v>36</v>
      </c>
    </row>
    <row r="253" spans="1:14" x14ac:dyDescent="0.25">
      <c r="I253" t="s">
        <v>69</v>
      </c>
      <c r="J253">
        <v>3</v>
      </c>
      <c r="K253">
        <f t="shared" si="10"/>
        <v>39</v>
      </c>
    </row>
    <row r="254" spans="1:14" x14ac:dyDescent="0.25">
      <c r="I254" t="s">
        <v>51</v>
      </c>
      <c r="J254">
        <f>SUM(J249:J253)</f>
        <v>39</v>
      </c>
    </row>
    <row r="256" spans="1:14" x14ac:dyDescent="0.25">
      <c r="I256" t="s">
        <v>104</v>
      </c>
      <c r="J256">
        <f>J254/4</f>
        <v>9.75</v>
      </c>
      <c r="K256" t="str">
        <f>I250</f>
        <v>10--20</v>
      </c>
    </row>
    <row r="257" spans="9:11" x14ac:dyDescent="0.25">
      <c r="I257" t="s">
        <v>105</v>
      </c>
      <c r="J257">
        <f>(2*J254)/4</f>
        <v>19.5</v>
      </c>
      <c r="K257" t="str">
        <f>I251</f>
        <v>20-30</v>
      </c>
    </row>
    <row r="258" spans="9:11" x14ac:dyDescent="0.25">
      <c r="I258" t="s">
        <v>106</v>
      </c>
      <c r="J258">
        <f>3*(J254/4)</f>
        <v>29.25</v>
      </c>
      <c r="K258" t="str">
        <f>I252</f>
        <v>30-40</v>
      </c>
    </row>
    <row r="260" spans="9:11" x14ac:dyDescent="0.25">
      <c r="I260" t="s">
        <v>95</v>
      </c>
      <c r="J260">
        <f>10+((J256-K249)/J250)*10</f>
        <v>17.75</v>
      </c>
    </row>
    <row r="261" spans="9:11" x14ac:dyDescent="0.25">
      <c r="I261" t="s">
        <v>96</v>
      </c>
      <c r="J261">
        <f>20+((J257-K250)/J251)*10</f>
        <v>24.6875</v>
      </c>
    </row>
    <row r="262" spans="9:11" x14ac:dyDescent="0.25">
      <c r="I262" t="s">
        <v>94</v>
      </c>
      <c r="J262">
        <f>30+((J258-K251)/J252)*10</f>
        <v>31.5625</v>
      </c>
    </row>
    <row r="264" spans="9:11" x14ac:dyDescent="0.25">
      <c r="I264" t="s">
        <v>107</v>
      </c>
      <c r="J264">
        <f>((J262+J260)-(2*J261))/(J262-J260)</f>
        <v>-4.5248868778280547E-3</v>
      </c>
    </row>
    <row r="266" spans="9:11" x14ac:dyDescent="0.25">
      <c r="J266" s="1" t="s">
        <v>9</v>
      </c>
    </row>
    <row r="267" spans="9:11" x14ac:dyDescent="0.25">
      <c r="J267" t="str">
        <f>IF(J264 &gt; 0,"The distribution is positively skewed",IF(J264=0,"the distribution is symmetrical","the distribution is negatively skewed"))</f>
        <v>the distribution is negatively skewed</v>
      </c>
    </row>
    <row r="286" spans="2:17" x14ac:dyDescent="0.25">
      <c r="I286" s="60" t="s">
        <v>118</v>
      </c>
      <c r="J286" s="60"/>
      <c r="K286" s="60"/>
      <c r="L286" s="60"/>
      <c r="M286" s="60"/>
      <c r="N286" s="60"/>
      <c r="O286" s="60"/>
      <c r="P286" s="60"/>
      <c r="Q286" s="60"/>
    </row>
    <row r="287" spans="2:17" x14ac:dyDescent="0.25">
      <c r="B287" t="s">
        <v>108</v>
      </c>
      <c r="I287" s="60" t="s">
        <v>65</v>
      </c>
      <c r="J287" s="61" t="s">
        <v>71</v>
      </c>
      <c r="K287" s="60" t="s">
        <v>67</v>
      </c>
      <c r="L287" s="60" t="s">
        <v>68</v>
      </c>
      <c r="M287" s="60" t="s">
        <v>69</v>
      </c>
      <c r="N287" s="60" t="s">
        <v>119</v>
      </c>
      <c r="O287" s="60"/>
      <c r="P287" s="60"/>
      <c r="Q287" s="60"/>
    </row>
    <row r="288" spans="2:17" x14ac:dyDescent="0.25">
      <c r="B288" t="s">
        <v>99</v>
      </c>
      <c r="C288" t="s">
        <v>66</v>
      </c>
      <c r="D288" t="s">
        <v>71</v>
      </c>
      <c r="E288" t="s">
        <v>67</v>
      </c>
      <c r="F288" t="s">
        <v>68</v>
      </c>
      <c r="G288" t="s">
        <v>69</v>
      </c>
      <c r="I288" s="60" t="s">
        <v>102</v>
      </c>
      <c r="J288" s="60">
        <v>2</v>
      </c>
      <c r="K288" s="60">
        <v>7</v>
      </c>
      <c r="L288" s="60">
        <v>15</v>
      </c>
      <c r="M288" s="60">
        <v>8</v>
      </c>
      <c r="N288" s="60">
        <v>1</v>
      </c>
      <c r="O288" s="60"/>
      <c r="P288" s="60"/>
      <c r="Q288" s="60"/>
    </row>
    <row r="289" spans="1:15" x14ac:dyDescent="0.25">
      <c r="B289" t="s">
        <v>100</v>
      </c>
      <c r="C289">
        <v>2</v>
      </c>
      <c r="D289">
        <v>10</v>
      </c>
      <c r="E289">
        <v>16</v>
      </c>
      <c r="F289">
        <v>8</v>
      </c>
      <c r="G289">
        <v>3</v>
      </c>
    </row>
    <row r="290" spans="1:15" x14ac:dyDescent="0.25">
      <c r="I290" s="54" t="s">
        <v>4</v>
      </c>
      <c r="J290" s="53"/>
    </row>
    <row r="291" spans="1:15" x14ac:dyDescent="0.25">
      <c r="J291" t="s">
        <v>82</v>
      </c>
      <c r="K291" t="s">
        <v>120</v>
      </c>
    </row>
    <row r="292" spans="1:15" x14ac:dyDescent="0.25">
      <c r="A292" t="s">
        <v>65</v>
      </c>
      <c r="B292" t="s">
        <v>102</v>
      </c>
      <c r="C292" t="s">
        <v>103</v>
      </c>
      <c r="I292" s="54" t="s">
        <v>17</v>
      </c>
      <c r="J292" s="53"/>
      <c r="M292" t="s">
        <v>121</v>
      </c>
    </row>
    <row r="293" spans="1:15" x14ac:dyDescent="0.25">
      <c r="A293" t="s">
        <v>66</v>
      </c>
      <c r="B293">
        <v>2</v>
      </c>
      <c r="C293">
        <f>B293</f>
        <v>2</v>
      </c>
      <c r="J293" t="s">
        <v>65</v>
      </c>
      <c r="K293" t="s">
        <v>102</v>
      </c>
      <c r="L293" t="s">
        <v>75</v>
      </c>
      <c r="N293" t="s">
        <v>127</v>
      </c>
      <c r="O293" t="s">
        <v>128</v>
      </c>
    </row>
    <row r="294" spans="1:15" x14ac:dyDescent="0.25">
      <c r="A294" t="s">
        <v>71</v>
      </c>
      <c r="B294">
        <v>10</v>
      </c>
      <c r="C294">
        <f>C293+B294</f>
        <v>12</v>
      </c>
      <c r="J294" t="s">
        <v>71</v>
      </c>
      <c r="K294">
        <v>2</v>
      </c>
      <c r="L294">
        <f>K294</f>
        <v>2</v>
      </c>
      <c r="N294" t="s">
        <v>122</v>
      </c>
      <c r="O294">
        <f>L294</f>
        <v>2</v>
      </c>
    </row>
    <row r="295" spans="1:15" x14ac:dyDescent="0.25">
      <c r="A295" t="s">
        <v>67</v>
      </c>
      <c r="B295">
        <v>16</v>
      </c>
      <c r="C295">
        <f t="shared" ref="C295:C297" si="11">C294+B295</f>
        <v>28</v>
      </c>
      <c r="J295" t="s">
        <v>67</v>
      </c>
      <c r="K295">
        <v>7</v>
      </c>
      <c r="L295">
        <f>L294+K295</f>
        <v>9</v>
      </c>
      <c r="N295" t="s">
        <v>123</v>
      </c>
      <c r="O295">
        <f>L295</f>
        <v>9</v>
      </c>
    </row>
    <row r="296" spans="1:15" x14ac:dyDescent="0.25">
      <c r="A296" t="s">
        <v>68</v>
      </c>
      <c r="B296">
        <v>8</v>
      </c>
      <c r="C296">
        <f t="shared" si="11"/>
        <v>36</v>
      </c>
      <c r="J296" t="s">
        <v>68</v>
      </c>
      <c r="K296">
        <v>15</v>
      </c>
      <c r="L296">
        <f t="shared" ref="L296:L298" si="12">L295+K296</f>
        <v>24</v>
      </c>
      <c r="N296" t="s">
        <v>124</v>
      </c>
      <c r="O296">
        <f>L296</f>
        <v>24</v>
      </c>
    </row>
    <row r="297" spans="1:15" x14ac:dyDescent="0.25">
      <c r="A297" t="s">
        <v>69</v>
      </c>
      <c r="B297">
        <v>3</v>
      </c>
      <c r="C297">
        <f t="shared" si="11"/>
        <v>39</v>
      </c>
      <c r="J297" t="s">
        <v>69</v>
      </c>
      <c r="K297">
        <v>8</v>
      </c>
      <c r="L297">
        <f t="shared" si="12"/>
        <v>32</v>
      </c>
      <c r="N297" t="s">
        <v>125</v>
      </c>
      <c r="O297">
        <f>L297</f>
        <v>32</v>
      </c>
    </row>
    <row r="298" spans="1:15" x14ac:dyDescent="0.25">
      <c r="A298" t="s">
        <v>51</v>
      </c>
      <c r="B298">
        <f>SUM(B293:B297)</f>
        <v>39</v>
      </c>
      <c r="J298" t="s">
        <v>119</v>
      </c>
      <c r="K298">
        <v>1</v>
      </c>
      <c r="L298">
        <f t="shared" si="12"/>
        <v>33</v>
      </c>
      <c r="N298" t="s">
        <v>126</v>
      </c>
      <c r="O298">
        <f>L298</f>
        <v>33</v>
      </c>
    </row>
    <row r="299" spans="1:15" x14ac:dyDescent="0.25">
      <c r="D299" t="s">
        <v>113</v>
      </c>
      <c r="E299" t="s">
        <v>114</v>
      </c>
    </row>
    <row r="300" spans="1:15" x14ac:dyDescent="0.25">
      <c r="B300" t="s">
        <v>109</v>
      </c>
      <c r="C300">
        <f>10*(B298/100)</f>
        <v>3.9000000000000004</v>
      </c>
      <c r="D300">
        <v>10</v>
      </c>
      <c r="E300">
        <v>20</v>
      </c>
    </row>
    <row r="301" spans="1:15" x14ac:dyDescent="0.25">
      <c r="B301" t="s">
        <v>110</v>
      </c>
      <c r="C301">
        <f>50*(B298/100)</f>
        <v>19.5</v>
      </c>
      <c r="D301">
        <v>20</v>
      </c>
      <c r="E301">
        <v>30</v>
      </c>
    </row>
    <row r="302" spans="1:15" x14ac:dyDescent="0.25">
      <c r="B302" t="s">
        <v>111</v>
      </c>
      <c r="C302">
        <f>90*(B298/100)</f>
        <v>35.1</v>
      </c>
      <c r="D302">
        <v>30</v>
      </c>
      <c r="E302">
        <v>40</v>
      </c>
    </row>
    <row r="304" spans="1:15" x14ac:dyDescent="0.25">
      <c r="B304" t="s">
        <v>112</v>
      </c>
      <c r="C304">
        <f>D300+((C300-C293)/B294)*10</f>
        <v>11.9</v>
      </c>
    </row>
    <row r="305" spans="2:10" x14ac:dyDescent="0.25">
      <c r="B305" t="s">
        <v>115</v>
      </c>
      <c r="C305">
        <f t="shared" ref="C305:C306" si="13">D301+((C301-C294)/B295)*10</f>
        <v>24.6875</v>
      </c>
    </row>
    <row r="306" spans="2:10" x14ac:dyDescent="0.25">
      <c r="B306" t="s">
        <v>116</v>
      </c>
      <c r="C306">
        <f t="shared" si="13"/>
        <v>38.875</v>
      </c>
    </row>
    <row r="309" spans="2:10" x14ac:dyDescent="0.25">
      <c r="B309" t="s">
        <v>107</v>
      </c>
      <c r="C309">
        <f>((C306+C304)-(2*C305))/(C306-C304)</f>
        <v>5.189990732159401E-2</v>
      </c>
    </row>
    <row r="311" spans="2:10" x14ac:dyDescent="0.25">
      <c r="B311" s="1" t="s">
        <v>9</v>
      </c>
    </row>
    <row r="312" spans="2:10" x14ac:dyDescent="0.25">
      <c r="B312" t="s">
        <v>117</v>
      </c>
    </row>
    <row r="316" spans="2:10" x14ac:dyDescent="0.25">
      <c r="I316" s="1" t="s">
        <v>9</v>
      </c>
    </row>
    <row r="317" spans="2:10" x14ac:dyDescent="0.25">
      <c r="J317" t="s">
        <v>129</v>
      </c>
    </row>
  </sheetData>
  <mergeCells count="33">
    <mergeCell ref="I290:J290"/>
    <mergeCell ref="I292:J292"/>
    <mergeCell ref="B75:C75"/>
    <mergeCell ref="B34:C34"/>
    <mergeCell ref="B7:C7"/>
    <mergeCell ref="B48:C48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  <mergeCell ref="K88:O89"/>
    <mergeCell ref="K93:P93"/>
    <mergeCell ref="J96:K96"/>
    <mergeCell ref="J97:M97"/>
    <mergeCell ref="J98:M98"/>
    <mergeCell ref="J99:M99"/>
    <mergeCell ref="N96:O96"/>
    <mergeCell ref="N104:O105"/>
    <mergeCell ref="K122:L122"/>
    <mergeCell ref="K123:L123"/>
    <mergeCell ref="A236:H236"/>
    <mergeCell ref="A135:H135"/>
    <mergeCell ref="A153:H153"/>
    <mergeCell ref="J160:K160"/>
    <mergeCell ref="J161:O161"/>
    <mergeCell ref="J185:P185"/>
  </mergeCells>
  <phoneticPr fontId="10" type="noConversion"/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2023-08-17T08:43:50Z</dcterms:modified>
</cp:coreProperties>
</file>