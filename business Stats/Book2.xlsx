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0C2D5C72-BBB8-4451-A81F-9B6B0C87880C}" xr6:coauthVersionLast="47" xr6:coauthVersionMax="47" xr10:uidLastSave="{00000000-0000-0000-0000-000000000000}"/>
  <bookViews>
    <workbookView xWindow="-120" yWindow="-120" windowWidth="29040" windowHeight="16440" activeTab="2" xr2:uid="{84D76DE3-8557-4722-B5C1-4893E077E0C2}"/>
  </bookViews>
  <sheets>
    <sheet name="Sheet1" sheetId="1" r:id="rId1"/>
    <sheet name="Sheet2" sheetId="2" r:id="rId2"/>
    <sheet name="Sheet3" sheetId="3" r:id="rId3"/>
  </sheets>
  <definedNames>
    <definedName name="_xlnm.Print_Area" localSheetId="2">Sheet3!$A$1:$Q$234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00" i="3" l="1"/>
  <c r="J395" i="3"/>
  <c r="J396" i="3"/>
  <c r="J397" i="3" s="1"/>
  <c r="J398" i="3"/>
  <c r="B397" i="3"/>
  <c r="B396" i="3"/>
  <c r="D392" i="3"/>
  <c r="B393" i="3"/>
  <c r="B395" i="3" s="1"/>
  <c r="B394" i="3"/>
  <c r="P344" i="3"/>
  <c r="J352" i="3"/>
  <c r="J351" i="3"/>
  <c r="P349" i="3"/>
  <c r="O349" i="3"/>
  <c r="K349" i="3"/>
  <c r="P345" i="3"/>
  <c r="P346" i="3"/>
  <c r="P347" i="3"/>
  <c r="P348" i="3"/>
  <c r="O345" i="3"/>
  <c r="O346" i="3"/>
  <c r="O347" i="3"/>
  <c r="O348" i="3"/>
  <c r="O344" i="3"/>
  <c r="N345" i="3"/>
  <c r="N346" i="3"/>
  <c r="N347" i="3"/>
  <c r="N348" i="3"/>
  <c r="N344" i="3"/>
  <c r="M345" i="3"/>
  <c r="M346" i="3"/>
  <c r="M347" i="3"/>
  <c r="M348" i="3"/>
  <c r="M344" i="3"/>
  <c r="D348" i="3"/>
  <c r="D344" i="3"/>
  <c r="D345" i="3"/>
  <c r="D346" i="3"/>
  <c r="D347" i="3"/>
  <c r="D343" i="3"/>
  <c r="B360" i="3"/>
  <c r="B356" i="3"/>
  <c r="B357" i="3"/>
  <c r="B358" i="3"/>
  <c r="B359" i="3"/>
  <c r="B355" i="3"/>
  <c r="B353" i="3"/>
  <c r="B352" i="3"/>
  <c r="B350" i="3"/>
  <c r="C348" i="3"/>
  <c r="C344" i="3"/>
  <c r="C345" i="3"/>
  <c r="C346" i="3"/>
  <c r="C347" i="3"/>
  <c r="C343" i="3"/>
  <c r="B348" i="3"/>
  <c r="O295" i="3"/>
  <c r="O296" i="3"/>
  <c r="O297" i="3"/>
  <c r="O298" i="3"/>
  <c r="O294" i="3"/>
  <c r="L296" i="3"/>
  <c r="L297" i="3" s="1"/>
  <c r="L298" i="3" s="1"/>
  <c r="L295" i="3"/>
  <c r="L294" i="3"/>
  <c r="C309" i="3"/>
  <c r="C305" i="3"/>
  <c r="C306" i="3"/>
  <c r="C304" i="3"/>
  <c r="C300" i="3"/>
  <c r="C301" i="3"/>
  <c r="C302" i="3"/>
  <c r="B298" i="3"/>
  <c r="C293" i="3"/>
  <c r="C294" i="3" s="1"/>
  <c r="C295" i="3" s="1"/>
  <c r="C296" i="3" s="1"/>
  <c r="C297" i="3" s="1"/>
  <c r="J267" i="3"/>
  <c r="J262" i="3"/>
  <c r="J261" i="3"/>
  <c r="J264" i="3" s="1"/>
  <c r="J260" i="3"/>
  <c r="K258" i="3"/>
  <c r="J258" i="3"/>
  <c r="K257" i="3"/>
  <c r="J257" i="3"/>
  <c r="K256" i="3"/>
  <c r="J256" i="3"/>
  <c r="J254" i="3"/>
  <c r="K251" i="3"/>
  <c r="K252" i="3" s="1"/>
  <c r="K253" i="3" s="1"/>
  <c r="K249" i="3"/>
  <c r="K250" i="3" s="1"/>
  <c r="D242" i="3"/>
  <c r="D244" i="3"/>
  <c r="D247" i="3" s="1"/>
  <c r="C251" i="3" s="1"/>
  <c r="D243" i="3"/>
  <c r="J205" i="3"/>
  <c r="B200" i="3"/>
  <c r="J156" i="3"/>
  <c r="J155" i="3"/>
  <c r="J157" i="3" s="1"/>
  <c r="K164" i="3" s="1"/>
  <c r="J154" i="3"/>
  <c r="K144" i="3"/>
  <c r="L144" i="3" s="1"/>
  <c r="K145" i="3"/>
  <c r="L145" i="3" s="1"/>
  <c r="K146" i="3"/>
  <c r="K143" i="3"/>
  <c r="L143" i="3" s="1"/>
  <c r="P144" i="3"/>
  <c r="P145" i="3" s="1"/>
  <c r="P146" i="3" s="1"/>
  <c r="J150" i="3" s="1"/>
  <c r="P143" i="3"/>
  <c r="J147" i="3"/>
  <c r="J152" i="3" s="1"/>
  <c r="J153" i="3" s="1"/>
  <c r="K163" i="3" s="1"/>
  <c r="O143" i="3"/>
  <c r="O144" i="3"/>
  <c r="O145" i="3"/>
  <c r="O146" i="3"/>
  <c r="O142" i="3"/>
  <c r="L146" i="3"/>
  <c r="L142" i="3"/>
  <c r="K142" i="3"/>
  <c r="G150" i="3"/>
  <c r="C110" i="3"/>
  <c r="O106" i="3"/>
  <c r="C108" i="3"/>
  <c r="C109" i="3"/>
  <c r="C111" i="3"/>
  <c r="L64" i="3"/>
  <c r="L55" i="3"/>
  <c r="L56" i="3" s="1"/>
  <c r="L54" i="3"/>
  <c r="L53" i="3"/>
  <c r="L21" i="3"/>
  <c r="L22" i="3"/>
  <c r="L23" i="3"/>
  <c r="L24" i="3"/>
  <c r="L147" i="3" l="1"/>
  <c r="J151" i="3" s="1"/>
  <c r="K162" i="3" s="1"/>
  <c r="L57" i="3"/>
  <c r="L58" i="3" s="1"/>
  <c r="K67" i="3" s="1"/>
  <c r="E20" i="3"/>
  <c r="F20" i="3" s="1"/>
  <c r="E61" i="3"/>
  <c r="F61" i="3" s="1"/>
  <c r="E62" i="3"/>
  <c r="F62" i="3" s="1"/>
  <c r="E63" i="3"/>
  <c r="F63" i="3" s="1"/>
  <c r="E64" i="3"/>
  <c r="F64" i="3" s="1"/>
  <c r="E65" i="3"/>
  <c r="F65" i="3" s="1"/>
  <c r="E66" i="3"/>
  <c r="F66" i="3" s="1"/>
  <c r="C67" i="3"/>
  <c r="D66" i="3"/>
  <c r="D65" i="3"/>
  <c r="D64" i="3"/>
  <c r="D63" i="3"/>
  <c r="D62" i="3"/>
  <c r="D61" i="3"/>
  <c r="C26" i="3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D20" i="3"/>
  <c r="D67" i="3" l="1"/>
  <c r="C70" i="3" s="1"/>
  <c r="E67" i="3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<sst xmlns="http://schemas.openxmlformats.org/spreadsheetml/2006/main" count="313" uniqueCount="162">
  <si>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</si>
  <si>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</si>
  <si>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</si>
  <si>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</si>
  <si>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</si>
  <si>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</si>
  <si>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</si>
  <si>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</si>
  <si>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</si>
  <si>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</si>
  <si>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</si>
  <si>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</si>
  <si>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</si>
  <si>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</si>
  <si>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</si>
  <si>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</si>
  <si>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</si>
  <si>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</si>
  <si>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</si>
  <si>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</si>
  <si>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</si>
  <si>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</si>
  <si>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</si>
  <si>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</si>
  <si>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</si>
  <si>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</si>
  <si>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</si>
  <si>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</si>
  <si>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</si>
  <si>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</si>
  <si>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</si>
  <si>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</si>
  <si>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</si>
  <si>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</si>
  <si>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</si>
  <si>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</si>
  <si>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</si>
  <si>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</si>
  <si>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</si>
  <si>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</si>
  <si>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</si>
  <si>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</si>
  <si>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</si>
  <si>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</si>
  <si>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</si>
  <si>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</si>
  <si>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</si>
  <si>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</si>
  <si>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</si>
  <si>
    <t>P</t>
  </si>
  <si>
    <t>Q</t>
  </si>
  <si>
    <t>n</t>
  </si>
  <si>
    <t>Error</t>
  </si>
  <si>
    <t>SE</t>
  </si>
  <si>
    <t>Zcal</t>
  </si>
  <si>
    <t>Tabulation:</t>
  </si>
  <si>
    <t>alpha</t>
  </si>
  <si>
    <t>NO of tails</t>
  </si>
  <si>
    <t>Ztab</t>
  </si>
  <si>
    <t>There are 40 boys and 50 girls in a sample of BIM students.</t>
  </si>
  <si>
    <t>On the basis of this sample, can we say that there are equal no of boys and girls in BIM class.</t>
  </si>
  <si>
    <t>Σx</t>
  </si>
  <si>
    <t>Median</t>
  </si>
  <si>
    <t>mode</t>
  </si>
  <si>
    <t>Calculate Mean Median and mode of the following data</t>
  </si>
  <si>
    <t>class</t>
  </si>
  <si>
    <t>0-10</t>
  </si>
  <si>
    <t>20-30</t>
  </si>
  <si>
    <t>30-40</t>
  </si>
  <si>
    <t>40-50</t>
  </si>
  <si>
    <t>Freq</t>
  </si>
  <si>
    <t>10--20</t>
  </si>
  <si>
    <t>U</t>
  </si>
  <si>
    <t>L</t>
  </si>
  <si>
    <t>H</t>
  </si>
  <si>
    <t>CF</t>
  </si>
  <si>
    <t>N</t>
  </si>
  <si>
    <t>Mean</t>
  </si>
  <si>
    <t>Total</t>
  </si>
  <si>
    <t>median</t>
  </si>
  <si>
    <t>Md class</t>
  </si>
  <si>
    <t>th class</t>
  </si>
  <si>
    <t>Md</t>
  </si>
  <si>
    <t>modal class</t>
  </si>
  <si>
    <t>D1</t>
  </si>
  <si>
    <t>D2</t>
  </si>
  <si>
    <t>the mean median and mode of the above distribution is</t>
  </si>
  <si>
    <t>Mode</t>
  </si>
  <si>
    <t>Calculate the Standard Deviation of the following data</t>
  </si>
  <si>
    <t>X: 1,4,6,8,2,3,5</t>
  </si>
  <si>
    <t>Caclulate the SD of the following data</t>
  </si>
  <si>
    <t>Find out the bowley's coff of skewness from the following data</t>
  </si>
  <si>
    <t>X:</t>
  </si>
  <si>
    <t>10,15,9,6,8,10,16,18,19,16,15,10</t>
  </si>
  <si>
    <t>q3</t>
  </si>
  <si>
    <t>q1</t>
  </si>
  <si>
    <t>q2</t>
  </si>
  <si>
    <t>sk</t>
  </si>
  <si>
    <t>Calculate bowley's coefficient of skewness of the following data</t>
  </si>
  <si>
    <t>class:</t>
  </si>
  <si>
    <t>freq:</t>
  </si>
  <si>
    <t>sk=</t>
  </si>
  <si>
    <t>freq</t>
  </si>
  <si>
    <t>cf</t>
  </si>
  <si>
    <t>q1 class</t>
  </si>
  <si>
    <t>q2 class</t>
  </si>
  <si>
    <t>q3 class</t>
  </si>
  <si>
    <t>Sk</t>
  </si>
  <si>
    <t>Calculate the voeff of skewness form the following data</t>
  </si>
  <si>
    <t>p10 class</t>
  </si>
  <si>
    <t>p50 class</t>
  </si>
  <si>
    <t>p90 class</t>
  </si>
  <si>
    <t>p10</t>
  </si>
  <si>
    <t>l</t>
  </si>
  <si>
    <t>u</t>
  </si>
  <si>
    <t>p50</t>
  </si>
  <si>
    <t>p90</t>
  </si>
  <si>
    <t>The distribution is positively skewed</t>
  </si>
  <si>
    <t>Draw the less than freq curve and find out the median graphically</t>
  </si>
  <si>
    <t>50-60</t>
  </si>
  <si>
    <t>(N/2)th term</t>
  </si>
  <si>
    <t>Less than class</t>
  </si>
  <si>
    <t>less than 20</t>
  </si>
  <si>
    <t>less than 30</t>
  </si>
  <si>
    <t>less than 40</t>
  </si>
  <si>
    <t>less than 50</t>
  </si>
  <si>
    <t>less than 60</t>
  </si>
  <si>
    <t>Class</t>
  </si>
  <si>
    <t>frequency</t>
  </si>
  <si>
    <t>The median of the above distribution is 35</t>
  </si>
  <si>
    <t>Fint the following data in a binomial distribution</t>
  </si>
  <si>
    <t>p(0)</t>
  </si>
  <si>
    <t>p(1)</t>
  </si>
  <si>
    <t>p(2)</t>
  </si>
  <si>
    <t>p(3)</t>
  </si>
  <si>
    <t>p(4)</t>
  </si>
  <si>
    <t>total</t>
  </si>
  <si>
    <t>Expected f</t>
  </si>
  <si>
    <t>The data above can be mapped into a binomial distribution as follows</t>
  </si>
  <si>
    <t>F</t>
  </si>
  <si>
    <t xml:space="preserve">From the following find the Mean and SD </t>
  </si>
  <si>
    <t>10--15</t>
  </si>
  <si>
    <t>15-20</t>
  </si>
  <si>
    <t>20-25</t>
  </si>
  <si>
    <t>25-30</t>
  </si>
  <si>
    <t>30-35</t>
  </si>
  <si>
    <t>fx^2</t>
  </si>
  <si>
    <t>Totals</t>
  </si>
  <si>
    <t>A random sample of 50 gave a mean of 75 kg and SD of 1.5kg</t>
  </si>
  <si>
    <t>Find the 95% confidence limit of the population mean</t>
  </si>
  <si>
    <t>critical value</t>
  </si>
  <si>
    <t>probablity</t>
  </si>
  <si>
    <t>μ</t>
  </si>
  <si>
    <t>Standard Error</t>
  </si>
  <si>
    <t>μ(low)</t>
  </si>
  <si>
    <t>μ(upp)</t>
  </si>
  <si>
    <t>α</t>
  </si>
  <si>
    <t>σ</t>
  </si>
  <si>
    <t>A random sample of 100 students is found to have mean weight of 55 kg and</t>
  </si>
  <si>
    <t xml:space="preserve">and SD of 5kg test hypothesis that the mean test hypothesis that the mean weight </t>
  </si>
  <si>
    <t>of the pop-n is 52 kg at 5% level of significance</t>
  </si>
  <si>
    <t>s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</si>
</sst>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right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0" fillId="0" borderId="1" xfId="0" applyBorder="1" applyAlignment="1">
      <alignment horizontal="right"/>
    </xf>
    <xf numFmtId="164" fontId="0" fillId="0" borderId="0" xfId="0" applyNumberFormat="1"/>
    <xf numFmtId="0" fontId="1" fillId="0" borderId="18" xfId="0" applyFont="1" applyBorder="1" applyAlignment="1">
      <alignment vertical="center" wrapText="1"/>
    </xf>
    <xf numFmtId="17" fontId="0" fillId="0" borderId="0" xfId="0" applyNumberFormat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1" fontId="0" fillId="0" borderId="23" xfId="0" applyNumberFormat="1" applyBorder="1"/>
    <xf numFmtId="1" fontId="0" fillId="0" borderId="24" xfId="0" applyNumberFormat="1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Sheet3!$O$97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DB-4CCA-B2E5-6FDCB38A7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251600"/>
        <c:axId val="1104245776"/>
      </c:scatterChart>
      <c:valAx>
        <c:axId val="110425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5776"/>
        <c:crosses val="autoZero"/>
        <c:crossBetween val="midCat"/>
      </c:valAx>
      <c:valAx>
        <c:axId val="110424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Sheet3!$O$293</c:f>
              <c:strCache>
                <c:ptCount val="1"/>
                <c:pt idx="0">
                  <c:v>frequency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Sheet3!$N$294:$N$298</c:f>
              <c:strCache>
                <c:ptCount val="5"/>
                <c:pt idx="0">
                  <c:v>less than 20</c:v>
                </c:pt>
                <c:pt idx="1">
                  <c:v>less than 30</c:v>
                </c:pt>
                <c:pt idx="2">
                  <c:v>less than 40</c:v>
                </c:pt>
                <c:pt idx="3">
                  <c:v>less than 50</c:v>
                </c:pt>
                <c:pt idx="4">
                  <c:v>less than 60</c:v>
                </c:pt>
              </c:strCache>
            </c:strRef>
          </c:cat>
          <c:val>
            <c:numRef>
              <c:f>Sheet3!$O$294:$O$298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24</c:v>
                </c:pt>
                <c:pt idx="3">
                  <c:v>32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6D-4988-AE16-6DFA57069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782671"/>
        <c:axId val="1309781007"/>
      </c:lineChart>
      <c:catAx>
        <c:axId val="130978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781007"/>
        <c:crosses val="autoZero"/>
        <c:auto val="1"/>
        <c:lblAlgn val="ctr"/>
        <c:lblOffset val="100"/>
        <c:noMultiLvlLbl val="0"/>
      </c:catAx>
      <c:valAx>
        <c:axId val="130978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78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219075</xdr:colOff>
      <xdr:row>11</xdr:row>
      <xdr:rowOff>168728</xdr:rowOff>
    </xdr:from>
    <xdr:to>
      <xdr:col>23</xdr:col>
      <xdr:colOff>314325</xdr:colOff>
      <xdr:row>25</xdr:row>
      <xdr:rowOff>92527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742950</xdr:colOff>
      <xdr:row>11</xdr:row>
      <xdr:rowOff>28575</xdr:rowOff>
    </xdr:from>
    <xdr:to>
      <xdr:col>11</xdr:col>
      <xdr:colOff>446532</xdr:colOff>
      <xdr:row>12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5899E4-8B04-4B80-9BD3-45658DDA9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276225</xdr:colOff>
      <xdr:row>13</xdr:row>
      <xdr:rowOff>19050</xdr:rowOff>
    </xdr:from>
    <xdr:to>
      <xdr:col>13</xdr:col>
      <xdr:colOff>200025</xdr:colOff>
      <xdr:row>14</xdr:row>
      <xdr:rowOff>133350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50A1686-FF27-4C34-8C4C-8A9523EDF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5240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333375</xdr:colOff>
      <xdr:row>15</xdr:row>
      <xdr:rowOff>66675</xdr:rowOff>
    </xdr:from>
    <xdr:to>
      <xdr:col>12</xdr:col>
      <xdr:colOff>542925</xdr:colOff>
      <xdr:row>16</xdr:row>
      <xdr:rowOff>180975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E6535C4-39ED-4451-BD7F-42F7D8CF6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609600</xdr:colOff>
      <xdr:row>46</xdr:row>
      <xdr:rowOff>180975</xdr:rowOff>
    </xdr:from>
    <xdr:to>
      <xdr:col>10</xdr:col>
      <xdr:colOff>819150</xdr:colOff>
      <xdr:row>49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159641-AEDD-4AD8-A662-DBAB8243C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77475"/>
          <a:ext cx="20955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28014</xdr:colOff>
      <xdr:row>107</xdr:row>
      <xdr:rowOff>107576</xdr:rowOff>
    </xdr:from>
    <xdr:to>
      <xdr:col>15</xdr:col>
      <xdr:colOff>633131</xdr:colOff>
      <xdr:row>121</xdr:row>
      <xdr:rowOff>183776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AE2012-762F-415C-8F07-A2B819E18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4762</xdr:colOff>
      <xdr:row>299</xdr:row>
      <xdr:rowOff>57150</xdr:rowOff>
    </xdr:from>
    <xdr:to>
      <xdr:col>15</xdr:col>
      <xdr:colOff>557212</xdr:colOff>
      <xdr:row>313</xdr:row>
      <xdr:rowOff>133350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1A01CA0-7E61-4B6F-AAFD-D8326373E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0.03966</cdr:x>
      <cdr:y>0.55208</cdr:y>
    </cdr:from>
    <cdr:to>
      <cdr:x>0.43646</cdr:x>
      <cdr:y>0.55556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33E530E7-B808-4BC8-83B3-E01982EEF974}"/>
            </a:ext>
          </a:extLst>
        </cdr:cNvPr>
        <cdr:cNvCxnSpPr/>
      </cdr:nvCxnSpPr>
      <cdr:spPr>
        <a:xfrm xmlns:a="http://schemas.openxmlformats.org/drawingml/2006/main" flipH="1">
          <a:off x="181335" y="1514475"/>
          <a:ext cx="1814153" cy="952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0.43646</cdr:x>
      <cdr:y>0.52778</cdr:y>
    </cdr:from>
    <cdr:to>
      <cdr:x>0.43854</cdr:x>
      <cdr:y>0.89583</cdr:y>
    </cdr:to>
    <cdr:cxnSp macro="">
      <cdr:nvCxnSpPr>
        <cdr:cNvPr id="8" name="Straight Connector 7">
          <a:extLst xmlns:a="http://schemas.openxmlformats.org/drawingml/2006/main">
            <a:ext uri="{FF2B5EF4-FFF2-40B4-BE49-F238E27FC236}">
              <a16:creationId xmlns:a16="http://schemas.microsoft.com/office/drawing/2014/main" id="{4991D3A4-57E2-489A-9BFD-06A582BC1C94}"/>
            </a:ext>
          </a:extLst>
        </cdr:cNvPr>
        <cdr:cNvCxnSpPr/>
      </cdr:nvCxnSpPr>
      <cdr:spPr>
        <a:xfrm xmlns:a="http://schemas.openxmlformats.org/drawingml/2006/main">
          <a:off x="1995488" y="1447800"/>
          <a:ext cx="9525" cy="100965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"/>
  <sheetViews>
    <sheetView workbookViewId="0">
      <selection activeCell="Q16" sqref="Q16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1"/>
  <sheetViews>
    <sheetView zoomScaleNormal="100" workbookViewId="0">
      <selection activeCell="I31" sqref="I31"/>
    </sheetView>
  </sheetViews>
  <sheetFormatPr defaultRowHeight="15" x14ac:dyDescent="0.25"/>
  <cols>
    <col min="4" max="4" width="15.140625" customWidth="1"/>
  </cols>
  <sheetData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P400"/>
  <sheetViews>
    <sheetView tabSelected="1" view="pageLayout" topLeftCell="A382" zoomScaleNormal="85" workbookViewId="0">
      <selection activeCell="J404" sqref="J404"/>
    </sheetView>
  </sheetViews>
  <sheetFormatPr defaultRowHeight="15" x14ac:dyDescent="0.25"/>
  <cols>
    <col min="1" max="1" width="13.5703125" customWidth="1"/>
    <col min="2" max="2" width="13.140625" customWidth="1"/>
    <col min="9" max="9" width="10.5703125" customWidth="1"/>
    <col min="14" max="14" width="10.28515625" customWidth="1"/>
  </cols>
  <sheetData>
    <row r="1" spans="1:14" ht="20.25" thickBot="1" x14ac:dyDescent="0.3">
      <c r="A1" s="31" t="s">
        <v>30</v>
      </c>
    </row>
    <row r="2" spans="1:14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14" ht="20.25" thickBot="1" x14ac:dyDescent="0.3">
      <c r="A3" s="34" t="s">
        <v>22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14" ht="19.5" customHeight="1" x14ac:dyDescent="0.25">
      <c r="A4" s="31"/>
      <c r="H4" s="5"/>
      <c r="K4" s="42" t="s">
        <v>35</v>
      </c>
    </row>
    <row r="5" spans="1:14" ht="12.75" customHeight="1" x14ac:dyDescent="0.25">
      <c r="A5" s="31"/>
      <c r="K5" s="42" t="s">
        <v>36</v>
      </c>
    </row>
    <row r="6" spans="1:14" ht="19.5" x14ac:dyDescent="0.25">
      <c r="A6" s="31" t="s">
        <v>4</v>
      </c>
      <c r="K6" s="63" t="s">
        <v>37</v>
      </c>
      <c r="L6" s="63"/>
      <c r="M6" s="63"/>
      <c r="N6" s="63"/>
    </row>
    <row r="7" spans="1:14" ht="28.5" customHeight="1" x14ac:dyDescent="0.25">
      <c r="A7" s="41">
        <v>1</v>
      </c>
      <c r="B7" s="66"/>
      <c r="C7" s="66"/>
      <c r="K7" s="63" t="s">
        <v>38</v>
      </c>
      <c r="L7" s="63"/>
      <c r="M7" s="63"/>
      <c r="N7" s="63"/>
    </row>
    <row r="8" spans="1:14" ht="21" x14ac:dyDescent="0.25">
      <c r="A8" s="36"/>
      <c r="K8" s="63" t="s">
        <v>39</v>
      </c>
      <c r="L8" s="63"/>
      <c r="M8" s="63"/>
      <c r="N8" s="63"/>
    </row>
    <row r="9" spans="1:14" ht="27" customHeight="1" x14ac:dyDescent="0.25">
      <c r="A9" s="36" t="s">
        <v>31</v>
      </c>
      <c r="K9" s="63" t="s">
        <v>46</v>
      </c>
      <c r="L9" s="63"/>
      <c r="M9" s="63"/>
      <c r="N9" s="63"/>
    </row>
    <row r="10" spans="1:14" x14ac:dyDescent="0.25">
      <c r="A10" s="37"/>
    </row>
    <row r="11" spans="1:14" ht="37.5" customHeight="1" x14ac:dyDescent="0.25">
      <c r="A11" s="38" t="s">
        <v>32</v>
      </c>
      <c r="K11" s="61" t="s">
        <v>42</v>
      </c>
      <c r="L11" s="60"/>
      <c r="M11" s="60"/>
    </row>
    <row r="12" spans="1:14" ht="23.25" x14ac:dyDescent="0.25">
      <c r="A12" s="39" t="s">
        <v>33</v>
      </c>
      <c r="K12" s="63" t="s">
        <v>48</v>
      </c>
      <c r="L12" s="63"/>
      <c r="M12" s="63"/>
      <c r="N12" s="63"/>
    </row>
    <row r="13" spans="1:14" ht="21.75" x14ac:dyDescent="0.25">
      <c r="A13" s="40"/>
      <c r="K13" s="63"/>
      <c r="L13" s="63"/>
      <c r="M13" s="63"/>
      <c r="N13" s="63"/>
    </row>
    <row r="14" spans="1:14" ht="21.75" x14ac:dyDescent="0.25">
      <c r="A14" s="40"/>
      <c r="K14" s="63" t="s">
        <v>47</v>
      </c>
      <c r="L14" s="64"/>
      <c r="M14" s="64"/>
      <c r="N14" s="64"/>
    </row>
    <row r="15" spans="1:14" x14ac:dyDescent="0.25">
      <c r="C15" s="12"/>
      <c r="D15" s="12"/>
      <c r="E15" s="12"/>
      <c r="F15" s="12"/>
      <c r="K15" s="63"/>
      <c r="L15" s="64"/>
      <c r="M15" s="64"/>
      <c r="N15" s="64"/>
    </row>
    <row r="16" spans="1:14" x14ac:dyDescent="0.25">
      <c r="B16" s="3"/>
      <c r="C16" s="3"/>
      <c r="D16" s="3"/>
      <c r="E16" s="3"/>
      <c r="F16" s="3"/>
      <c r="K16" s="60"/>
      <c r="L16" s="63"/>
      <c r="M16" s="63"/>
      <c r="N16" s="63"/>
    </row>
    <row r="17" spans="1:14" ht="19.5" x14ac:dyDescent="0.25">
      <c r="A17" s="4" t="s">
        <v>17</v>
      </c>
      <c r="B17" s="3"/>
      <c r="C17" s="5"/>
      <c r="D17" s="5"/>
      <c r="E17" s="5"/>
      <c r="F17" s="5"/>
      <c r="K17" s="60"/>
      <c r="L17" s="63"/>
      <c r="M17" s="63"/>
      <c r="N17" s="63"/>
    </row>
    <row r="18" spans="1:14" ht="15.75" thickBot="1" x14ac:dyDescent="0.3">
      <c r="B18" s="1"/>
    </row>
    <row r="19" spans="1:14" ht="20.25" thickBot="1" x14ac:dyDescent="0.3">
      <c r="B19" s="9" t="s">
        <v>1</v>
      </c>
      <c r="C19" s="21" t="s">
        <v>22</v>
      </c>
      <c r="D19" s="22" t="s">
        <v>23</v>
      </c>
      <c r="E19" s="22" t="s">
        <v>28</v>
      </c>
      <c r="F19" s="23" t="s">
        <v>29</v>
      </c>
      <c r="K19" t="s">
        <v>24</v>
      </c>
      <c r="L19">
        <v>75</v>
      </c>
    </row>
    <row r="20" spans="1:14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  <c r="K20" t="s">
        <v>40</v>
      </c>
      <c r="L20">
        <v>4</v>
      </c>
    </row>
    <row r="21" spans="1:14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  <c r="K21" t="s">
        <v>41</v>
      </c>
      <c r="L21">
        <f>NORMDIST(60,75,4,1)</f>
        <v>8.841728520080376E-5</v>
      </c>
    </row>
    <row r="22" spans="1:14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  <c r="K22" t="s">
        <v>43</v>
      </c>
      <c r="L22">
        <f>1-NORMDIST(65,75,4,1)</f>
        <v>0.99379033467422384</v>
      </c>
    </row>
    <row r="23" spans="1:14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  <c r="K23" t="s">
        <v>44</v>
      </c>
      <c r="L23">
        <f>NORMDIST(90,75,4,1)-NORMDIST(80,75,4,1)</f>
        <v>0.10556135638165443</v>
      </c>
    </row>
    <row r="24" spans="1:14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  <c r="K24" t="s">
        <v>45</v>
      </c>
      <c r="L24">
        <f>NORMDIST(84,75,4,1)-NORMDIST(60,75,4,1)</f>
        <v>0.98768711005975451</v>
      </c>
    </row>
    <row r="25" spans="1:14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14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14" x14ac:dyDescent="0.25">
      <c r="B29" t="s">
        <v>24</v>
      </c>
      <c r="C29" s="11">
        <f>D26/C26</f>
        <v>2.1492537313432836</v>
      </c>
      <c r="D29" t="s">
        <v>27</v>
      </c>
      <c r="E29">
        <v>2.15</v>
      </c>
    </row>
    <row r="30" spans="1:14" x14ac:dyDescent="0.25">
      <c r="B30" t="s">
        <v>25</v>
      </c>
      <c r="C30" s="11">
        <f>C29/5</f>
        <v>0.42985074626865671</v>
      </c>
    </row>
    <row r="31" spans="1:14" x14ac:dyDescent="0.25">
      <c r="B31" t="s">
        <v>26</v>
      </c>
      <c r="C31" s="11">
        <f>1-C30</f>
        <v>0.57014925373134329</v>
      </c>
    </row>
    <row r="34" spans="1:12" x14ac:dyDescent="0.25">
      <c r="B34" s="65" t="s">
        <v>9</v>
      </c>
      <c r="C34" s="65"/>
      <c r="F34" s="11"/>
    </row>
    <row r="35" spans="1:12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12" x14ac:dyDescent="0.25">
      <c r="B36" s="7" t="s">
        <v>29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12" ht="20.25" thickBot="1" x14ac:dyDescent="0.3">
      <c r="A42" s="31" t="s">
        <v>34</v>
      </c>
    </row>
    <row r="43" spans="1:12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12" ht="20.25" thickBot="1" x14ac:dyDescent="0.3">
      <c r="A44" s="34" t="s">
        <v>22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12" ht="19.5" x14ac:dyDescent="0.25">
      <c r="A45" s="31"/>
      <c r="H45" s="5"/>
      <c r="K45" s="42" t="s">
        <v>59</v>
      </c>
    </row>
    <row r="46" spans="1:12" ht="19.5" x14ac:dyDescent="0.25">
      <c r="A46" s="31"/>
      <c r="J46" s="42" t="s">
        <v>60</v>
      </c>
    </row>
    <row r="47" spans="1:12" ht="19.5" x14ac:dyDescent="0.25">
      <c r="A47" s="31" t="s">
        <v>4</v>
      </c>
      <c r="K47" s="43" t="s">
        <v>4</v>
      </c>
    </row>
    <row r="48" spans="1:12" ht="21" x14ac:dyDescent="0.25">
      <c r="A48" s="41">
        <v>1</v>
      </c>
      <c r="B48" s="66"/>
      <c r="C48" s="66"/>
      <c r="K48" s="62">
        <v>1</v>
      </c>
      <c r="L48" s="62"/>
    </row>
    <row r="49" spans="1:16" ht="21" x14ac:dyDescent="0.25">
      <c r="A49" s="36"/>
      <c r="K49" s="62"/>
      <c r="L49" s="62"/>
    </row>
    <row r="50" spans="1:16" ht="21" x14ac:dyDescent="0.25">
      <c r="A50" s="36" t="s">
        <v>31</v>
      </c>
      <c r="K50" s="43"/>
    </row>
    <row r="51" spans="1:16" x14ac:dyDescent="0.25">
      <c r="A51" s="37"/>
      <c r="K51" s="1" t="s">
        <v>17</v>
      </c>
    </row>
    <row r="52" spans="1:16" ht="19.5" x14ac:dyDescent="0.25">
      <c r="A52" s="38" t="s">
        <v>32</v>
      </c>
      <c r="K52" t="s">
        <v>49</v>
      </c>
      <c r="L52">
        <v>0.5</v>
      </c>
    </row>
    <row r="53" spans="1:16" ht="23.25" x14ac:dyDescent="0.25">
      <c r="A53" s="39" t="s">
        <v>33</v>
      </c>
      <c r="K53" t="s">
        <v>50</v>
      </c>
      <c r="L53">
        <f>1-L52</f>
        <v>0.5</v>
      </c>
    </row>
    <row r="54" spans="1:16" ht="21.75" x14ac:dyDescent="0.25">
      <c r="A54" s="40"/>
      <c r="K54" t="s">
        <v>51</v>
      </c>
      <c r="L54">
        <f>90</f>
        <v>90</v>
      </c>
      <c r="P54" t="s">
        <v>1</v>
      </c>
    </row>
    <row r="55" spans="1:16" ht="21.75" x14ac:dyDescent="0.25">
      <c r="A55" s="40"/>
      <c r="K55" t="s">
        <v>25</v>
      </c>
      <c r="L55">
        <f>40/90</f>
        <v>0.44444444444444442</v>
      </c>
    </row>
    <row r="56" spans="1:16" x14ac:dyDescent="0.25">
      <c r="C56" s="12"/>
      <c r="D56" s="12"/>
      <c r="E56" s="12"/>
      <c r="F56" s="12"/>
      <c r="K56" t="s">
        <v>52</v>
      </c>
      <c r="L56">
        <f>L55-L52</f>
        <v>-5.555555555555558E-2</v>
      </c>
    </row>
    <row r="57" spans="1:16" x14ac:dyDescent="0.25">
      <c r="B57" s="3"/>
      <c r="C57" s="3"/>
      <c r="D57" s="3"/>
      <c r="E57" s="3"/>
      <c r="F57" s="3"/>
      <c r="K57" t="s">
        <v>53</v>
      </c>
      <c r="L57">
        <f>SQRT(L52*L53/L54)</f>
        <v>5.2704627669472988E-2</v>
      </c>
    </row>
    <row r="58" spans="1:16" ht="19.5" x14ac:dyDescent="0.25">
      <c r="A58" s="4" t="s">
        <v>17</v>
      </c>
      <c r="B58" s="3"/>
      <c r="C58" s="5"/>
      <c r="D58" s="5"/>
      <c r="E58" s="5"/>
      <c r="F58" s="5"/>
      <c r="K58" t="s">
        <v>54</v>
      </c>
      <c r="L58">
        <f>ABS(L56/L57)</f>
        <v>1.0540925533894603</v>
      </c>
    </row>
    <row r="59" spans="1:16" ht="15.75" thickBot="1" x14ac:dyDescent="0.3">
      <c r="B59" s="1"/>
    </row>
    <row r="60" spans="1:16" ht="20.25" thickBot="1" x14ac:dyDescent="0.3">
      <c r="B60" s="9" t="s">
        <v>1</v>
      </c>
      <c r="C60" s="21" t="s">
        <v>22</v>
      </c>
      <c r="D60" s="22" t="s">
        <v>23</v>
      </c>
      <c r="E60" s="22" t="s">
        <v>28</v>
      </c>
      <c r="F60" s="23" t="s">
        <v>29</v>
      </c>
    </row>
    <row r="61" spans="1:16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  <c r="K61" s="1" t="s">
        <v>55</v>
      </c>
    </row>
    <row r="62" spans="1:16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  <c r="K62" t="s">
        <v>56</v>
      </c>
      <c r="L62">
        <v>0.05</v>
      </c>
    </row>
    <row r="63" spans="1:16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  <c r="K63" t="s">
        <v>57</v>
      </c>
      <c r="L63">
        <v>2</v>
      </c>
    </row>
    <row r="64" spans="1:16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  <c r="K64" t="s">
        <v>58</v>
      </c>
      <c r="L64">
        <f>NORMSINV(0.975)</f>
        <v>1.9599639845400536</v>
      </c>
    </row>
    <row r="65" spans="1:11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11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  <c r="K66" s="1" t="s">
        <v>9</v>
      </c>
    </row>
    <row r="67" spans="1:11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  <c r="K67" t="str">
        <f>IF(L57&lt;=L58,"Null Hypothesis is accepted","Null Hypothesis is rejected")</f>
        <v>Null Hypothesis is accepted</v>
      </c>
    </row>
    <row r="70" spans="1:11" x14ac:dyDescent="0.25">
      <c r="B70" t="s">
        <v>24</v>
      </c>
      <c r="C70" s="11">
        <f>D67/C67</f>
        <v>2.1492537313432836</v>
      </c>
      <c r="D70" t="s">
        <v>27</v>
      </c>
      <c r="E70">
        <v>2.15</v>
      </c>
    </row>
    <row r="71" spans="1:11" x14ac:dyDescent="0.25">
      <c r="C71" s="11"/>
    </row>
    <row r="72" spans="1:11" x14ac:dyDescent="0.25">
      <c r="C72" s="11"/>
    </row>
    <row r="75" spans="1:11" x14ac:dyDescent="0.25">
      <c r="B75" s="65" t="s">
        <v>9</v>
      </c>
      <c r="C75" s="65"/>
      <c r="F75" s="11"/>
    </row>
    <row r="76" spans="1:11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11" x14ac:dyDescent="0.25">
      <c r="B77" s="7" t="s">
        <v>29</v>
      </c>
      <c r="C77" s="15" t="s">
        <v>29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  <row r="88" spans="2:16" x14ac:dyDescent="0.25">
      <c r="K88" s="60" t="s">
        <v>11</v>
      </c>
      <c r="L88" s="60"/>
      <c r="M88" s="60"/>
      <c r="N88" s="60"/>
      <c r="O88" s="60"/>
    </row>
    <row r="89" spans="2:16" x14ac:dyDescent="0.25">
      <c r="K89" s="60"/>
      <c r="L89" s="60"/>
      <c r="M89" s="60"/>
      <c r="N89" s="60"/>
      <c r="O89" s="60"/>
    </row>
    <row r="90" spans="2:16" x14ac:dyDescent="0.25">
      <c r="K90" t="s">
        <v>1</v>
      </c>
      <c r="L90">
        <v>2</v>
      </c>
      <c r="M90">
        <v>7</v>
      </c>
      <c r="N90">
        <v>6</v>
      </c>
      <c r="O90">
        <v>9</v>
      </c>
      <c r="P90">
        <v>4</v>
      </c>
    </row>
    <row r="91" spans="2:16" x14ac:dyDescent="0.25">
      <c r="B91" s="44" t="s">
        <v>1</v>
      </c>
      <c r="K91" t="s">
        <v>2</v>
      </c>
      <c r="L91">
        <v>2</v>
      </c>
      <c r="M91">
        <v>9</v>
      </c>
      <c r="N91">
        <v>8</v>
      </c>
      <c r="O91">
        <v>6</v>
      </c>
      <c r="P91">
        <v>5</v>
      </c>
    </row>
    <row r="92" spans="2:16" x14ac:dyDescent="0.25">
      <c r="B92">
        <v>2</v>
      </c>
    </row>
    <row r="93" spans="2:16" x14ac:dyDescent="0.25">
      <c r="B93">
        <v>7</v>
      </c>
      <c r="K93" s="60" t="s">
        <v>12</v>
      </c>
      <c r="L93" s="60"/>
      <c r="M93" s="60"/>
      <c r="N93" s="60"/>
      <c r="O93" s="60"/>
      <c r="P93" s="60"/>
    </row>
    <row r="94" spans="2:16" x14ac:dyDescent="0.25">
      <c r="B94">
        <v>6</v>
      </c>
    </row>
    <row r="95" spans="2:16" x14ac:dyDescent="0.25">
      <c r="B95">
        <v>8</v>
      </c>
    </row>
    <row r="96" spans="2:16" x14ac:dyDescent="0.25">
      <c r="B96">
        <v>5</v>
      </c>
      <c r="J96" s="61" t="s">
        <v>13</v>
      </c>
      <c r="K96" s="60"/>
      <c r="N96" s="61" t="s">
        <v>17</v>
      </c>
      <c r="O96" s="61"/>
    </row>
    <row r="97" spans="2:15" x14ac:dyDescent="0.25">
      <c r="B97">
        <v>4</v>
      </c>
      <c r="J97" s="60" t="s">
        <v>14</v>
      </c>
      <c r="K97" s="60"/>
      <c r="L97" s="60"/>
      <c r="M97" s="60"/>
      <c r="N97" t="s">
        <v>1</v>
      </c>
      <c r="O97" t="s">
        <v>2</v>
      </c>
    </row>
    <row r="98" spans="2:15" x14ac:dyDescent="0.25">
      <c r="B98">
        <v>10</v>
      </c>
      <c r="J98" s="60" t="s">
        <v>15</v>
      </c>
      <c r="K98" s="60"/>
      <c r="L98" s="60"/>
      <c r="M98" s="60"/>
      <c r="N98">
        <v>2</v>
      </c>
      <c r="O98">
        <v>2</v>
      </c>
    </row>
    <row r="99" spans="2:15" x14ac:dyDescent="0.25">
      <c r="B99">
        <v>6</v>
      </c>
      <c r="J99" s="60" t="s">
        <v>16</v>
      </c>
      <c r="K99" s="60"/>
      <c r="L99" s="60"/>
      <c r="M99" s="60"/>
      <c r="N99">
        <v>7</v>
      </c>
      <c r="O99">
        <v>9</v>
      </c>
    </row>
    <row r="100" spans="2:15" x14ac:dyDescent="0.25">
      <c r="B100">
        <v>2</v>
      </c>
      <c r="N100">
        <v>6</v>
      </c>
      <c r="O100">
        <v>8</v>
      </c>
    </row>
    <row r="101" spans="2:15" x14ac:dyDescent="0.25">
      <c r="N101">
        <v>3</v>
      </c>
      <c r="O101">
        <v>6</v>
      </c>
    </row>
    <row r="102" spans="2:15" x14ac:dyDescent="0.25">
      <c r="N102">
        <v>4</v>
      </c>
      <c r="O102">
        <v>5</v>
      </c>
    </row>
    <row r="104" spans="2:15" x14ac:dyDescent="0.25">
      <c r="N104" s="60" t="s">
        <v>18</v>
      </c>
      <c r="O104" s="60"/>
    </row>
    <row r="105" spans="2:15" x14ac:dyDescent="0.25">
      <c r="N105" s="60"/>
      <c r="O105" s="60"/>
    </row>
    <row r="106" spans="2:15" x14ac:dyDescent="0.25">
      <c r="N106" t="s">
        <v>19</v>
      </c>
      <c r="O106">
        <f>(1.22*10)+0.62</f>
        <v>12.819999999999999</v>
      </c>
    </row>
    <row r="108" spans="2:15" x14ac:dyDescent="0.25">
      <c r="B108" t="s">
        <v>61</v>
      </c>
      <c r="C108">
        <f>SUM(B92:B100)</f>
        <v>50</v>
      </c>
    </row>
    <row r="109" spans="2:15" x14ac:dyDescent="0.25">
      <c r="B109" t="s">
        <v>24</v>
      </c>
      <c r="C109">
        <f>AVERAGE(B92:B100)</f>
        <v>5.5555555555555554</v>
      </c>
    </row>
    <row r="110" spans="2:15" x14ac:dyDescent="0.25">
      <c r="B110" t="s">
        <v>62</v>
      </c>
      <c r="C110">
        <f>MEDIAN(B92:B100)</f>
        <v>6</v>
      </c>
    </row>
    <row r="111" spans="2:15" x14ac:dyDescent="0.25">
      <c r="B111" t="s">
        <v>63</v>
      </c>
      <c r="C111">
        <f>_xlfn.MODE.SNGL(B92:B100)</f>
        <v>2</v>
      </c>
    </row>
    <row r="122" spans="11:13" x14ac:dyDescent="0.25">
      <c r="K122" s="61" t="s">
        <v>9</v>
      </c>
      <c r="L122" s="60"/>
    </row>
    <row r="123" spans="11:13" x14ac:dyDescent="0.25">
      <c r="K123" s="60" t="s">
        <v>20</v>
      </c>
      <c r="L123" s="60"/>
      <c r="M123" t="s">
        <v>21</v>
      </c>
    </row>
    <row r="135" spans="1:16" ht="15.75" thickBot="1" x14ac:dyDescent="0.3">
      <c r="A135" s="60" t="s">
        <v>0</v>
      </c>
      <c r="B135" s="60"/>
      <c r="C135" s="60"/>
      <c r="D135" s="60"/>
      <c r="E135" s="60"/>
      <c r="F135" s="60"/>
      <c r="G135" s="60"/>
      <c r="H135" s="60"/>
      <c r="J135" t="s">
        <v>64</v>
      </c>
    </row>
    <row r="136" spans="1:16" ht="15.75" thickBot="1" x14ac:dyDescent="0.3">
      <c r="A136" s="3"/>
      <c r="B136" s="3"/>
      <c r="C136" s="3"/>
      <c r="D136" s="3"/>
      <c r="E136" s="3"/>
      <c r="F136" s="3"/>
      <c r="G136" s="3"/>
      <c r="H136" s="3"/>
      <c r="J136" s="45" t="s">
        <v>65</v>
      </c>
      <c r="K136" s="46" t="s">
        <v>66</v>
      </c>
      <c r="L136" s="47" t="s">
        <v>71</v>
      </c>
      <c r="M136" s="46" t="s">
        <v>67</v>
      </c>
      <c r="N136" s="46" t="s">
        <v>68</v>
      </c>
      <c r="O136" s="46" t="s">
        <v>69</v>
      </c>
    </row>
    <row r="137" spans="1:16" ht="15.75" thickBot="1" x14ac:dyDescent="0.3">
      <c r="A137" t="s">
        <v>1</v>
      </c>
      <c r="B137">
        <v>2</v>
      </c>
      <c r="C137">
        <v>7</v>
      </c>
      <c r="D137">
        <v>6</v>
      </c>
      <c r="E137">
        <v>9</v>
      </c>
      <c r="F137">
        <v>4</v>
      </c>
      <c r="J137" s="48" t="s">
        <v>70</v>
      </c>
      <c r="K137" s="49">
        <v>2</v>
      </c>
      <c r="L137" s="49">
        <v>10</v>
      </c>
      <c r="M137" s="49">
        <v>16</v>
      </c>
      <c r="N137" s="49">
        <v>10</v>
      </c>
      <c r="O137" s="49">
        <v>4</v>
      </c>
    </row>
    <row r="138" spans="1:16" x14ac:dyDescent="0.25">
      <c r="A138" t="s">
        <v>2</v>
      </c>
      <c r="B138">
        <v>2</v>
      </c>
      <c r="C138">
        <v>9</v>
      </c>
      <c r="D138">
        <v>8</v>
      </c>
      <c r="E138">
        <v>6</v>
      </c>
      <c r="F138">
        <v>5</v>
      </c>
      <c r="I138" s="4"/>
      <c r="J138" s="3"/>
    </row>
    <row r="140" spans="1:16" x14ac:dyDescent="0.25">
      <c r="A140" s="3" t="s">
        <v>3</v>
      </c>
      <c r="B140" s="3"/>
      <c r="C140" s="3"/>
      <c r="D140" s="3"/>
      <c r="E140" s="3"/>
      <c r="F140" s="3"/>
    </row>
    <row r="141" spans="1:16" x14ac:dyDescent="0.25">
      <c r="I141" t="s">
        <v>65</v>
      </c>
      <c r="J141" t="s">
        <v>70</v>
      </c>
      <c r="K141" t="s">
        <v>1</v>
      </c>
      <c r="L141" t="s">
        <v>23</v>
      </c>
      <c r="M141" t="s">
        <v>73</v>
      </c>
      <c r="N141" t="s">
        <v>72</v>
      </c>
      <c r="O141" t="s">
        <v>74</v>
      </c>
      <c r="P141" t="s">
        <v>75</v>
      </c>
    </row>
    <row r="142" spans="1:16" x14ac:dyDescent="0.25">
      <c r="A142" s="4" t="s">
        <v>4</v>
      </c>
      <c r="B142" s="3"/>
      <c r="F142" s="4" t="s">
        <v>6</v>
      </c>
      <c r="G142" s="3"/>
      <c r="I142" t="s">
        <v>66</v>
      </c>
      <c r="J142">
        <v>2</v>
      </c>
      <c r="K142">
        <f>M142+N142/2</f>
        <v>5</v>
      </c>
      <c r="L142">
        <f>J142*K142</f>
        <v>10</v>
      </c>
      <c r="M142">
        <v>0</v>
      </c>
      <c r="N142">
        <v>10</v>
      </c>
      <c r="O142">
        <f>N142-M142</f>
        <v>10</v>
      </c>
      <c r="P142">
        <v>2</v>
      </c>
    </row>
    <row r="143" spans="1:16" x14ac:dyDescent="0.25">
      <c r="A143" s="3" t="s">
        <v>5</v>
      </c>
      <c r="B143" s="3"/>
      <c r="C143" s="3"/>
      <c r="D143" s="3"/>
      <c r="F143" t="s">
        <v>1</v>
      </c>
      <c r="G143" t="s">
        <v>2</v>
      </c>
      <c r="I143" t="s">
        <v>71</v>
      </c>
      <c r="J143">
        <v>10</v>
      </c>
      <c r="K143">
        <f>(M143+N143)/2</f>
        <v>15</v>
      </c>
      <c r="L143">
        <f t="shared" ref="L143:L146" si="6">J143*K143</f>
        <v>150</v>
      </c>
      <c r="M143">
        <v>10</v>
      </c>
      <c r="N143">
        <v>20</v>
      </c>
      <c r="O143">
        <f t="shared" ref="O143:O146" si="7">N143-M143</f>
        <v>10</v>
      </c>
      <c r="P143">
        <f>P142+J143</f>
        <v>12</v>
      </c>
    </row>
    <row r="144" spans="1:16" x14ac:dyDescent="0.25">
      <c r="A144" s="3"/>
      <c r="B144" s="3"/>
      <c r="C144" s="3"/>
      <c r="D144" s="3"/>
      <c r="F144">
        <v>2</v>
      </c>
      <c r="G144">
        <v>2</v>
      </c>
      <c r="I144" t="s">
        <v>67</v>
      </c>
      <c r="J144">
        <v>16</v>
      </c>
      <c r="K144">
        <f t="shared" ref="K144:K146" si="8">(M144+N144)/2</f>
        <v>25</v>
      </c>
      <c r="L144">
        <f t="shared" si="6"/>
        <v>400</v>
      </c>
      <c r="M144">
        <v>20</v>
      </c>
      <c r="N144">
        <v>30</v>
      </c>
      <c r="O144">
        <f t="shared" si="7"/>
        <v>10</v>
      </c>
      <c r="P144">
        <f t="shared" ref="P144:P146" si="9">P143+J144</f>
        <v>28</v>
      </c>
    </row>
    <row r="145" spans="1:16" x14ac:dyDescent="0.25">
      <c r="A145" s="3" t="s">
        <v>8</v>
      </c>
      <c r="B145" s="3"/>
      <c r="C145" s="3"/>
      <c r="D145" s="3"/>
      <c r="F145">
        <v>7</v>
      </c>
      <c r="G145">
        <v>9</v>
      </c>
      <c r="I145" t="s">
        <v>68</v>
      </c>
      <c r="J145" s="2">
        <v>10</v>
      </c>
      <c r="K145">
        <f t="shared" si="8"/>
        <v>35</v>
      </c>
      <c r="L145">
        <f t="shared" si="6"/>
        <v>350</v>
      </c>
      <c r="M145">
        <v>30</v>
      </c>
      <c r="N145">
        <v>40</v>
      </c>
      <c r="O145">
        <f t="shared" si="7"/>
        <v>10</v>
      </c>
      <c r="P145">
        <f t="shared" si="9"/>
        <v>38</v>
      </c>
    </row>
    <row r="146" spans="1:16" x14ac:dyDescent="0.25">
      <c r="A146" s="3"/>
      <c r="B146" s="3"/>
      <c r="C146" s="3"/>
      <c r="D146" s="3"/>
      <c r="F146">
        <v>6</v>
      </c>
      <c r="G146">
        <v>8</v>
      </c>
      <c r="I146" t="s">
        <v>69</v>
      </c>
      <c r="J146">
        <v>4</v>
      </c>
      <c r="K146">
        <f t="shared" si="8"/>
        <v>45</v>
      </c>
      <c r="L146">
        <f t="shared" si="6"/>
        <v>180</v>
      </c>
      <c r="M146">
        <v>40</v>
      </c>
      <c r="N146">
        <v>50</v>
      </c>
      <c r="O146">
        <f t="shared" si="7"/>
        <v>10</v>
      </c>
      <c r="P146">
        <f t="shared" si="9"/>
        <v>42</v>
      </c>
    </row>
    <row r="147" spans="1:16" x14ac:dyDescent="0.25">
      <c r="A147" s="3">
        <v>3</v>
      </c>
      <c r="B147" s="3"/>
      <c r="C147" s="3"/>
      <c r="D147" s="3"/>
      <c r="F147">
        <v>3</v>
      </c>
      <c r="G147">
        <v>6</v>
      </c>
      <c r="I147" t="s">
        <v>78</v>
      </c>
      <c r="J147">
        <f>SUM(J142:J146)</f>
        <v>42</v>
      </c>
      <c r="L147">
        <f>SUM(L142:L146)</f>
        <v>1090</v>
      </c>
    </row>
    <row r="148" spans="1:16" x14ac:dyDescent="0.25">
      <c r="A148" s="3"/>
      <c r="B148" s="3"/>
      <c r="C148" s="3"/>
      <c r="D148" s="3"/>
      <c r="F148">
        <v>4</v>
      </c>
      <c r="G148">
        <v>5</v>
      </c>
    </row>
    <row r="150" spans="1:16" x14ac:dyDescent="0.25">
      <c r="F150" t="s">
        <v>7</v>
      </c>
      <c r="G150">
        <f>CORREL(F144:F148,G144:G148)</f>
        <v>0.92447345164190509</v>
      </c>
      <c r="I150" t="s">
        <v>76</v>
      </c>
      <c r="J150">
        <f>P146</f>
        <v>42</v>
      </c>
    </row>
    <row r="151" spans="1:16" x14ac:dyDescent="0.25">
      <c r="I151" t="s">
        <v>77</v>
      </c>
      <c r="J151">
        <f>L147/J147</f>
        <v>25.952380952380953</v>
      </c>
    </row>
    <row r="152" spans="1:16" x14ac:dyDescent="0.25">
      <c r="A152" s="1" t="s">
        <v>9</v>
      </c>
      <c r="I152" t="s">
        <v>80</v>
      </c>
      <c r="J152">
        <f>J147/2</f>
        <v>21</v>
      </c>
      <c r="K152" t="s">
        <v>81</v>
      </c>
    </row>
    <row r="153" spans="1:16" x14ac:dyDescent="0.25">
      <c r="A153" s="60" t="s">
        <v>10</v>
      </c>
      <c r="B153" s="60"/>
      <c r="C153" s="60"/>
      <c r="D153" s="60"/>
      <c r="E153" s="60"/>
      <c r="F153" s="60"/>
      <c r="G153" s="60"/>
      <c r="H153" s="60"/>
      <c r="I153" t="s">
        <v>82</v>
      </c>
      <c r="J153">
        <f>M144+(J152-P143)/J144*O144</f>
        <v>25.625</v>
      </c>
    </row>
    <row r="154" spans="1:16" x14ac:dyDescent="0.25">
      <c r="I154" t="s">
        <v>83</v>
      </c>
      <c r="J154" s="44" t="str">
        <f>M136</f>
        <v>20-30</v>
      </c>
    </row>
    <row r="155" spans="1:16" x14ac:dyDescent="0.25">
      <c r="I155" t="s">
        <v>84</v>
      </c>
      <c r="J155">
        <f>J144-J143</f>
        <v>6</v>
      </c>
    </row>
    <row r="156" spans="1:16" x14ac:dyDescent="0.25">
      <c r="I156" t="s">
        <v>85</v>
      </c>
      <c r="J156">
        <f>J144-J145</f>
        <v>6</v>
      </c>
    </row>
    <row r="157" spans="1:16" x14ac:dyDescent="0.25">
      <c r="I157" t="s">
        <v>63</v>
      </c>
      <c r="J157">
        <f>M144+((J155)/(J155+J156))*O144</f>
        <v>25</v>
      </c>
    </row>
    <row r="160" spans="1:16" x14ac:dyDescent="0.25">
      <c r="J160" s="61" t="s">
        <v>9</v>
      </c>
      <c r="K160" s="60"/>
    </row>
    <row r="161" spans="10:15" x14ac:dyDescent="0.25">
      <c r="J161" s="60" t="s">
        <v>86</v>
      </c>
      <c r="K161" s="60"/>
      <c r="L161" s="60"/>
      <c r="M161" s="60"/>
      <c r="N161" s="60"/>
      <c r="O161" s="60"/>
    </row>
    <row r="162" spans="10:15" x14ac:dyDescent="0.25">
      <c r="J162" t="s">
        <v>24</v>
      </c>
      <c r="K162">
        <f>J151</f>
        <v>25.952380952380953</v>
      </c>
    </row>
    <row r="163" spans="10:15" x14ac:dyDescent="0.25">
      <c r="J163" t="s">
        <v>79</v>
      </c>
      <c r="K163">
        <f>J153</f>
        <v>25.625</v>
      </c>
    </row>
    <row r="164" spans="10:15" x14ac:dyDescent="0.25">
      <c r="J164" t="s">
        <v>87</v>
      </c>
      <c r="K164">
        <f>J157</f>
        <v>25</v>
      </c>
    </row>
    <row r="185" spans="1:16" x14ac:dyDescent="0.25">
      <c r="J185" s="60" t="s">
        <v>90</v>
      </c>
      <c r="K185" s="60"/>
      <c r="L185" s="60"/>
      <c r="M185" s="60"/>
      <c r="N185" s="60"/>
      <c r="O185" s="60"/>
      <c r="P185" s="60"/>
    </row>
    <row r="186" spans="1:16" ht="15.75" thickBot="1" x14ac:dyDescent="0.3">
      <c r="A186" s="42" t="s">
        <v>88</v>
      </c>
      <c r="K186" s="43"/>
    </row>
    <row r="187" spans="1:16" ht="15.75" thickBot="1" x14ac:dyDescent="0.3">
      <c r="A187" s="42" t="s">
        <v>89</v>
      </c>
      <c r="K187" s="45" t="s">
        <v>1</v>
      </c>
      <c r="L187" s="46">
        <v>10</v>
      </c>
      <c r="M187" s="46">
        <v>20</v>
      </c>
      <c r="N187" s="46">
        <v>30</v>
      </c>
      <c r="O187" s="46">
        <v>40</v>
      </c>
      <c r="P187" s="52"/>
    </row>
    <row r="188" spans="1:16" ht="15.75" thickBot="1" x14ac:dyDescent="0.3">
      <c r="K188" s="48" t="s">
        <v>70</v>
      </c>
      <c r="L188" s="49">
        <v>2</v>
      </c>
      <c r="M188" s="49">
        <v>5</v>
      </c>
      <c r="N188" s="49">
        <v>3</v>
      </c>
      <c r="O188" s="49">
        <v>2</v>
      </c>
      <c r="P188" s="52"/>
    </row>
    <row r="189" spans="1:16" x14ac:dyDescent="0.25">
      <c r="K189" s="43"/>
    </row>
    <row r="190" spans="1:16" x14ac:dyDescent="0.25">
      <c r="A190" s="50" t="s">
        <v>1</v>
      </c>
      <c r="I190" t="s">
        <v>1</v>
      </c>
    </row>
    <row r="191" spans="1:16" x14ac:dyDescent="0.25">
      <c r="A191" s="7">
        <v>1</v>
      </c>
      <c r="I191">
        <v>10</v>
      </c>
    </row>
    <row r="192" spans="1:16" x14ac:dyDescent="0.25">
      <c r="A192" s="7">
        <v>4</v>
      </c>
      <c r="I192">
        <v>10</v>
      </c>
    </row>
    <row r="193" spans="1:10" x14ac:dyDescent="0.25">
      <c r="A193" s="7">
        <v>6</v>
      </c>
      <c r="I193">
        <v>20</v>
      </c>
    </row>
    <row r="194" spans="1:10" x14ac:dyDescent="0.25">
      <c r="A194" s="7">
        <v>8</v>
      </c>
      <c r="I194">
        <v>20</v>
      </c>
    </row>
    <row r="195" spans="1:10" x14ac:dyDescent="0.25">
      <c r="A195" s="7">
        <v>2</v>
      </c>
      <c r="I195">
        <v>20</v>
      </c>
    </row>
    <row r="196" spans="1:10" x14ac:dyDescent="0.25">
      <c r="A196" s="7">
        <v>3</v>
      </c>
      <c r="I196">
        <v>20</v>
      </c>
    </row>
    <row r="197" spans="1:10" x14ac:dyDescent="0.25">
      <c r="A197" s="7">
        <v>5</v>
      </c>
      <c r="I197">
        <v>20</v>
      </c>
    </row>
    <row r="198" spans="1:10" x14ac:dyDescent="0.25">
      <c r="I198">
        <v>30</v>
      </c>
    </row>
    <row r="199" spans="1:10" x14ac:dyDescent="0.25">
      <c r="I199">
        <v>30</v>
      </c>
    </row>
    <row r="200" spans="1:10" x14ac:dyDescent="0.25">
      <c r="A200" t="s">
        <v>40</v>
      </c>
      <c r="B200" s="51">
        <f>_xlfn.STDEV.P(A190:A197)</f>
        <v>2.2314999074019015</v>
      </c>
      <c r="I200">
        <v>30</v>
      </c>
    </row>
    <row r="201" spans="1:10" x14ac:dyDescent="0.25">
      <c r="I201">
        <v>40</v>
      </c>
    </row>
    <row r="202" spans="1:10" x14ac:dyDescent="0.25">
      <c r="I202">
        <v>40</v>
      </c>
    </row>
    <row r="205" spans="1:10" x14ac:dyDescent="0.25">
      <c r="I205" t="s">
        <v>40</v>
      </c>
      <c r="J205">
        <f>_xlfn.STDEV.P(I191:I202)</f>
        <v>9.5379359518829983</v>
      </c>
    </row>
    <row r="236" spans="1:10" x14ac:dyDescent="0.25">
      <c r="A236" s="60" t="s">
        <v>91</v>
      </c>
      <c r="B236" s="60"/>
      <c r="C236" s="60"/>
      <c r="D236" s="60"/>
      <c r="E236" s="60"/>
      <c r="F236" s="60"/>
      <c r="G236" s="60"/>
      <c r="H236" s="60"/>
    </row>
    <row r="237" spans="1:10" x14ac:dyDescent="0.25">
      <c r="A237" t="s">
        <v>92</v>
      </c>
      <c r="B237" t="s">
        <v>93</v>
      </c>
    </row>
    <row r="239" spans="1:10" x14ac:dyDescent="0.25">
      <c r="A239" t="s">
        <v>1</v>
      </c>
    </row>
    <row r="240" spans="1:10" x14ac:dyDescent="0.25">
      <c r="A240">
        <v>10</v>
      </c>
      <c r="J240" t="s">
        <v>98</v>
      </c>
    </row>
    <row r="241" spans="1:14" x14ac:dyDescent="0.25">
      <c r="A241">
        <v>15</v>
      </c>
      <c r="I241" t="s">
        <v>99</v>
      </c>
      <c r="J241" t="s">
        <v>66</v>
      </c>
      <c r="K241" t="s">
        <v>71</v>
      </c>
      <c r="L241" t="s">
        <v>67</v>
      </c>
      <c r="M241" t="s">
        <v>68</v>
      </c>
      <c r="N241" t="s">
        <v>69</v>
      </c>
    </row>
    <row r="242" spans="1:14" x14ac:dyDescent="0.25">
      <c r="A242">
        <v>9</v>
      </c>
      <c r="C242" t="s">
        <v>95</v>
      </c>
      <c r="D242">
        <f>_xlfn.QUARTILE.EXC(A240:A251,1)</f>
        <v>9.25</v>
      </c>
      <c r="I242" t="s">
        <v>100</v>
      </c>
      <c r="J242">
        <v>2</v>
      </c>
      <c r="K242">
        <v>10</v>
      </c>
      <c r="L242">
        <v>16</v>
      </c>
      <c r="M242">
        <v>8</v>
      </c>
      <c r="N242">
        <v>3</v>
      </c>
    </row>
    <row r="243" spans="1:14" x14ac:dyDescent="0.25">
      <c r="A243">
        <v>6</v>
      </c>
      <c r="C243" t="s">
        <v>96</v>
      </c>
      <c r="D243">
        <f>_xlfn.QUARTILE.EXC(A242:A253,2)</f>
        <v>12.5</v>
      </c>
    </row>
    <row r="244" spans="1:14" x14ac:dyDescent="0.25">
      <c r="A244">
        <v>8</v>
      </c>
      <c r="C244" t="s">
        <v>94</v>
      </c>
      <c r="D244">
        <f>_xlfn.QUARTILE.EXC(A241:A252,3)</f>
        <v>16</v>
      </c>
      <c r="J244" s="1" t="s">
        <v>4</v>
      </c>
    </row>
    <row r="245" spans="1:14" x14ac:dyDescent="0.25">
      <c r="A245">
        <v>10</v>
      </c>
      <c r="J245" t="s">
        <v>101</v>
      </c>
    </row>
    <row r="246" spans="1:14" x14ac:dyDescent="0.25">
      <c r="A246">
        <v>16</v>
      </c>
    </row>
    <row r="247" spans="1:14" x14ac:dyDescent="0.25">
      <c r="A247">
        <v>18</v>
      </c>
      <c r="C247" t="s">
        <v>97</v>
      </c>
      <c r="D247">
        <f>((D244+D242)-(2*D243))/(D244-D242)</f>
        <v>3.7037037037037035E-2</v>
      </c>
    </row>
    <row r="248" spans="1:14" x14ac:dyDescent="0.25">
      <c r="A248">
        <v>19</v>
      </c>
      <c r="I248" t="s">
        <v>65</v>
      </c>
      <c r="J248" t="s">
        <v>102</v>
      </c>
      <c r="K248" t="s">
        <v>103</v>
      </c>
    </row>
    <row r="249" spans="1:14" x14ac:dyDescent="0.25">
      <c r="A249">
        <v>16</v>
      </c>
      <c r="I249" t="s">
        <v>66</v>
      </c>
      <c r="J249">
        <v>2</v>
      </c>
      <c r="K249">
        <f>J249</f>
        <v>2</v>
      </c>
    </row>
    <row r="250" spans="1:14" x14ac:dyDescent="0.25">
      <c r="A250">
        <v>15</v>
      </c>
      <c r="C250" s="1" t="s">
        <v>9</v>
      </c>
      <c r="I250" t="s">
        <v>71</v>
      </c>
      <c r="J250">
        <v>10</v>
      </c>
      <c r="K250">
        <f>K249+J250</f>
        <v>12</v>
      </c>
    </row>
    <row r="251" spans="1:14" x14ac:dyDescent="0.25">
      <c r="A251">
        <v>10</v>
      </c>
      <c r="C251" t="str">
        <f>IF(D247&gt;0,"The distribution is positively skewed",IF(D247=0,the distribution is symmetrical,the distribution is negatively skewed))</f>
        <v>The distribution is positively skewed</v>
      </c>
      <c r="I251" t="s">
        <v>67</v>
      </c>
      <c r="J251">
        <v>16</v>
      </c>
      <c r="K251">
        <f t="shared" ref="K251:K253" si="10">K250+J251</f>
        <v>28</v>
      </c>
    </row>
    <row r="252" spans="1:14" x14ac:dyDescent="0.25">
      <c r="I252" t="s">
        <v>68</v>
      </c>
      <c r="J252">
        <v>8</v>
      </c>
      <c r="K252">
        <f t="shared" si="10"/>
        <v>36</v>
      </c>
    </row>
    <row r="253" spans="1:14" x14ac:dyDescent="0.25">
      <c r="I253" t="s">
        <v>69</v>
      </c>
      <c r="J253">
        <v>3</v>
      </c>
      <c r="K253">
        <f t="shared" si="10"/>
        <v>39</v>
      </c>
    </row>
    <row r="254" spans="1:14" x14ac:dyDescent="0.25">
      <c r="I254" t="s">
        <v>51</v>
      </c>
      <c r="J254">
        <f>SUM(J249:J253)</f>
        <v>39</v>
      </c>
    </row>
    <row r="256" spans="1:14" x14ac:dyDescent="0.25">
      <c r="I256" t="s">
        <v>104</v>
      </c>
      <c r="J256">
        <f>J254/4</f>
        <v>9.75</v>
      </c>
      <c r="K256" t="str">
        <f>I250</f>
        <v>10--20</v>
      </c>
    </row>
    <row r="257" spans="9:11" x14ac:dyDescent="0.25">
      <c r="I257" t="s">
        <v>105</v>
      </c>
      <c r="J257">
        <f>(2*J254)/4</f>
        <v>19.5</v>
      </c>
      <c r="K257" t="str">
        <f>I251</f>
        <v>20-30</v>
      </c>
    </row>
    <row r="258" spans="9:11" x14ac:dyDescent="0.25">
      <c r="I258" t="s">
        <v>106</v>
      </c>
      <c r="J258">
        <f>3*(J254/4)</f>
        <v>29.25</v>
      </c>
      <c r="K258" t="str">
        <f>I252</f>
        <v>30-40</v>
      </c>
    </row>
    <row r="260" spans="9:11" x14ac:dyDescent="0.25">
      <c r="I260" t="s">
        <v>95</v>
      </c>
      <c r="J260">
        <f>10+((J256-K249)/J250)*10</f>
        <v>17.75</v>
      </c>
    </row>
    <row r="261" spans="9:11" x14ac:dyDescent="0.25">
      <c r="I261" t="s">
        <v>96</v>
      </c>
      <c r="J261">
        <f>20+((J257-K250)/J251)*10</f>
        <v>24.6875</v>
      </c>
    </row>
    <row r="262" spans="9:11" x14ac:dyDescent="0.25">
      <c r="I262" t="s">
        <v>94</v>
      </c>
      <c r="J262">
        <f>30+((J258-K251)/J252)*10</f>
        <v>31.5625</v>
      </c>
    </row>
    <row r="264" spans="9:11" x14ac:dyDescent="0.25">
      <c r="I264" t="s">
        <v>107</v>
      </c>
      <c r="J264">
        <f>((J262+J260)-(2*J261))/(J262-J260)</f>
        <v>-4.5248868778280547E-3</v>
      </c>
    </row>
    <row r="266" spans="9:11" x14ac:dyDescent="0.25">
      <c r="J266" s="1" t="s">
        <v>9</v>
      </c>
    </row>
    <row r="267" spans="9:11" x14ac:dyDescent="0.25">
      <c r="J267" t="str">
        <f>IF(J264 &gt; 0,"The distribution is positively skewed",IF(J264=0,"the distribution is symmetrical","the distribution is negatively skewed"))</f>
        <v>the distribution is negatively skewed</v>
      </c>
    </row>
    <row r="286" spans="2:14" x14ac:dyDescent="0.25">
      <c r="I286" t="s">
        <v>118</v>
      </c>
    </row>
    <row r="287" spans="2:14" x14ac:dyDescent="0.25">
      <c r="B287" t="s">
        <v>108</v>
      </c>
      <c r="I287" t="s">
        <v>65</v>
      </c>
      <c r="J287" s="53" t="s">
        <v>71</v>
      </c>
      <c r="K287" t="s">
        <v>67</v>
      </c>
      <c r="L287" t="s">
        <v>68</v>
      </c>
      <c r="M287" t="s">
        <v>69</v>
      </c>
      <c r="N287" t="s">
        <v>119</v>
      </c>
    </row>
    <row r="288" spans="2:14" x14ac:dyDescent="0.25">
      <c r="B288" t="s">
        <v>99</v>
      </c>
      <c r="C288" t="s">
        <v>66</v>
      </c>
      <c r="D288" t="s">
        <v>71</v>
      </c>
      <c r="E288" t="s">
        <v>67</v>
      </c>
      <c r="F288" t="s">
        <v>68</v>
      </c>
      <c r="G288" t="s">
        <v>69</v>
      </c>
      <c r="I288" t="s">
        <v>102</v>
      </c>
      <c r="J288">
        <v>2</v>
      </c>
      <c r="K288">
        <v>7</v>
      </c>
      <c r="L288">
        <v>15</v>
      </c>
      <c r="M288">
        <v>8</v>
      </c>
      <c r="N288">
        <v>1</v>
      </c>
    </row>
    <row r="289" spans="1:15" x14ac:dyDescent="0.25">
      <c r="B289" t="s">
        <v>100</v>
      </c>
      <c r="C289">
        <v>2</v>
      </c>
      <c r="D289">
        <v>10</v>
      </c>
      <c r="E289">
        <v>16</v>
      </c>
      <c r="F289">
        <v>8</v>
      </c>
      <c r="G289">
        <v>3</v>
      </c>
    </row>
    <row r="290" spans="1:15" x14ac:dyDescent="0.25">
      <c r="I290" s="61" t="s">
        <v>4</v>
      </c>
      <c r="J290" s="60"/>
    </row>
    <row r="291" spans="1:15" x14ac:dyDescent="0.25">
      <c r="J291" t="s">
        <v>82</v>
      </c>
      <c r="K291" t="s">
        <v>120</v>
      </c>
    </row>
    <row r="292" spans="1:15" x14ac:dyDescent="0.25">
      <c r="A292" t="s">
        <v>65</v>
      </c>
      <c r="B292" t="s">
        <v>102</v>
      </c>
      <c r="C292" t="s">
        <v>103</v>
      </c>
      <c r="I292" s="61" t="s">
        <v>17</v>
      </c>
      <c r="J292" s="60"/>
      <c r="M292" t="s">
        <v>121</v>
      </c>
    </row>
    <row r="293" spans="1:15" x14ac:dyDescent="0.25">
      <c r="A293" t="s">
        <v>66</v>
      </c>
      <c r="B293">
        <v>2</v>
      </c>
      <c r="C293">
        <f>B293</f>
        <v>2</v>
      </c>
      <c r="J293" t="s">
        <v>65</v>
      </c>
      <c r="K293" t="s">
        <v>102</v>
      </c>
      <c r="L293" t="s">
        <v>75</v>
      </c>
      <c r="N293" t="s">
        <v>127</v>
      </c>
      <c r="O293" t="s">
        <v>128</v>
      </c>
    </row>
    <row r="294" spans="1:15" x14ac:dyDescent="0.25">
      <c r="A294" t="s">
        <v>71</v>
      </c>
      <c r="B294">
        <v>10</v>
      </c>
      <c r="C294">
        <f>C293+B294</f>
        <v>12</v>
      </c>
      <c r="J294" t="s">
        <v>71</v>
      </c>
      <c r="K294">
        <v>2</v>
      </c>
      <c r="L294">
        <f>K294</f>
        <v>2</v>
      </c>
      <c r="N294" t="s">
        <v>122</v>
      </c>
      <c r="O294">
        <f>L294</f>
        <v>2</v>
      </c>
    </row>
    <row r="295" spans="1:15" x14ac:dyDescent="0.25">
      <c r="A295" t="s">
        <v>67</v>
      </c>
      <c r="B295">
        <v>16</v>
      </c>
      <c r="C295">
        <f t="shared" ref="C295:C297" si="11">C294+B295</f>
        <v>28</v>
      </c>
      <c r="J295" t="s">
        <v>67</v>
      </c>
      <c r="K295">
        <v>7</v>
      </c>
      <c r="L295">
        <f>L294+K295</f>
        <v>9</v>
      </c>
      <c r="N295" t="s">
        <v>123</v>
      </c>
      <c r="O295">
        <f>L295</f>
        <v>9</v>
      </c>
    </row>
    <row r="296" spans="1:15" x14ac:dyDescent="0.25">
      <c r="A296" t="s">
        <v>68</v>
      </c>
      <c r="B296">
        <v>8</v>
      </c>
      <c r="C296">
        <f t="shared" si="11"/>
        <v>36</v>
      </c>
      <c r="J296" t="s">
        <v>68</v>
      </c>
      <c r="K296">
        <v>15</v>
      </c>
      <c r="L296">
        <f t="shared" ref="L296:L298" si="12">L295+K296</f>
        <v>24</v>
      </c>
      <c r="N296" t="s">
        <v>124</v>
      </c>
      <c r="O296">
        <f>L296</f>
        <v>24</v>
      </c>
    </row>
    <row r="297" spans="1:15" x14ac:dyDescent="0.25">
      <c r="A297" t="s">
        <v>69</v>
      </c>
      <c r="B297">
        <v>3</v>
      </c>
      <c r="C297">
        <f t="shared" si="11"/>
        <v>39</v>
      </c>
      <c r="J297" t="s">
        <v>69</v>
      </c>
      <c r="K297">
        <v>8</v>
      </c>
      <c r="L297">
        <f t="shared" si="12"/>
        <v>32</v>
      </c>
      <c r="N297" t="s">
        <v>125</v>
      </c>
      <c r="O297">
        <f>L297</f>
        <v>32</v>
      </c>
    </row>
    <row r="298" spans="1:15" x14ac:dyDescent="0.25">
      <c r="A298" t="s">
        <v>51</v>
      </c>
      <c r="B298">
        <f>SUM(B293:B297)</f>
        <v>39</v>
      </c>
      <c r="J298" t="s">
        <v>119</v>
      </c>
      <c r="K298">
        <v>1</v>
      </c>
      <c r="L298">
        <f t="shared" si="12"/>
        <v>33</v>
      </c>
      <c r="N298" t="s">
        <v>126</v>
      </c>
      <c r="O298">
        <f>L298</f>
        <v>33</v>
      </c>
    </row>
    <row r="299" spans="1:15" x14ac:dyDescent="0.25">
      <c r="D299" t="s">
        <v>113</v>
      </c>
      <c r="E299" t="s">
        <v>114</v>
      </c>
    </row>
    <row r="300" spans="1:15" x14ac:dyDescent="0.25">
      <c r="B300" t="s">
        <v>109</v>
      </c>
      <c r="C300">
        <f>10*(B298/100)</f>
        <v>3.9000000000000004</v>
      </c>
      <c r="D300">
        <v>10</v>
      </c>
      <c r="E300">
        <v>20</v>
      </c>
    </row>
    <row r="301" spans="1:15" x14ac:dyDescent="0.25">
      <c r="B301" t="s">
        <v>110</v>
      </c>
      <c r="C301">
        <f>50*(B298/100)</f>
        <v>19.5</v>
      </c>
      <c r="D301">
        <v>20</v>
      </c>
      <c r="E301">
        <v>30</v>
      </c>
    </row>
    <row r="302" spans="1:15" x14ac:dyDescent="0.25">
      <c r="B302" t="s">
        <v>111</v>
      </c>
      <c r="C302">
        <f>90*(B298/100)</f>
        <v>35.1</v>
      </c>
      <c r="D302">
        <v>30</v>
      </c>
      <c r="E302">
        <v>40</v>
      </c>
    </row>
    <row r="304" spans="1:15" x14ac:dyDescent="0.25">
      <c r="B304" t="s">
        <v>112</v>
      </c>
      <c r="C304">
        <f>D300+((C300-C293)/B294)*10</f>
        <v>11.9</v>
      </c>
    </row>
    <row r="305" spans="2:10" x14ac:dyDescent="0.25">
      <c r="B305" t="s">
        <v>115</v>
      </c>
      <c r="C305">
        <f t="shared" ref="C305:C306" si="13">D301+((C301-C294)/B295)*10</f>
        <v>24.6875</v>
      </c>
    </row>
    <row r="306" spans="2:10" x14ac:dyDescent="0.25">
      <c r="B306" t="s">
        <v>116</v>
      </c>
      <c r="C306">
        <f t="shared" si="13"/>
        <v>38.875</v>
      </c>
    </row>
    <row r="309" spans="2:10" x14ac:dyDescent="0.25">
      <c r="B309" t="s">
        <v>107</v>
      </c>
      <c r="C309">
        <f>((C306+C304)-(2*C305))/(C306-C304)</f>
        <v>5.189990732159401E-2</v>
      </c>
    </row>
    <row r="311" spans="2:10" x14ac:dyDescent="0.25">
      <c r="B311" s="1" t="s">
        <v>9</v>
      </c>
    </row>
    <row r="312" spans="2:10" x14ac:dyDescent="0.25">
      <c r="B312" t="s">
        <v>117</v>
      </c>
    </row>
    <row r="316" spans="2:10" x14ac:dyDescent="0.25">
      <c r="I316" s="1" t="s">
        <v>9</v>
      </c>
    </row>
    <row r="317" spans="2:10" x14ac:dyDescent="0.25">
      <c r="J317" t="s">
        <v>129</v>
      </c>
    </row>
    <row r="336" spans="2:2" x14ac:dyDescent="0.25">
      <c r="B336" t="s">
        <v>130</v>
      </c>
    </row>
    <row r="337" spans="1:16" x14ac:dyDescent="0.25">
      <c r="B337" t="s">
        <v>1</v>
      </c>
      <c r="C337">
        <v>0</v>
      </c>
      <c r="D337">
        <v>1</v>
      </c>
      <c r="E337">
        <v>2</v>
      </c>
      <c r="F337">
        <v>3</v>
      </c>
      <c r="G337">
        <v>4</v>
      </c>
    </row>
    <row r="338" spans="1:16" x14ac:dyDescent="0.25">
      <c r="B338" t="s">
        <v>22</v>
      </c>
      <c r="C338">
        <v>2</v>
      </c>
      <c r="D338">
        <v>7</v>
      </c>
      <c r="E338">
        <v>6</v>
      </c>
      <c r="F338">
        <v>8</v>
      </c>
      <c r="G338">
        <v>5</v>
      </c>
      <c r="K338" t="s">
        <v>140</v>
      </c>
    </row>
    <row r="339" spans="1:16" x14ac:dyDescent="0.25">
      <c r="J339" t="s">
        <v>65</v>
      </c>
      <c r="K339" s="53" t="s">
        <v>141</v>
      </c>
      <c r="L339" t="s">
        <v>142</v>
      </c>
      <c r="M339" t="s">
        <v>143</v>
      </c>
      <c r="N339" t="s">
        <v>144</v>
      </c>
      <c r="O339" t="s">
        <v>145</v>
      </c>
    </row>
    <row r="340" spans="1:16" x14ac:dyDescent="0.25">
      <c r="J340" t="s">
        <v>102</v>
      </c>
      <c r="K340">
        <v>2</v>
      </c>
      <c r="L340">
        <v>10</v>
      </c>
      <c r="M340">
        <v>20</v>
      </c>
      <c r="N340">
        <v>6</v>
      </c>
      <c r="O340">
        <v>3</v>
      </c>
    </row>
    <row r="342" spans="1:16" x14ac:dyDescent="0.25">
      <c r="A342" t="s">
        <v>1</v>
      </c>
      <c r="B342" t="s">
        <v>22</v>
      </c>
      <c r="C342" t="s">
        <v>23</v>
      </c>
      <c r="D342" t="s">
        <v>137</v>
      </c>
      <c r="I342" s="1" t="s">
        <v>17</v>
      </c>
    </row>
    <row r="343" spans="1:16" x14ac:dyDescent="0.25">
      <c r="A343">
        <v>0</v>
      </c>
      <c r="B343">
        <v>2</v>
      </c>
      <c r="C343">
        <f>B343*A343</f>
        <v>0</v>
      </c>
      <c r="D343" s="12">
        <f>B355*$B$348</f>
        <v>1.02581787109375</v>
      </c>
      <c r="J343" t="s">
        <v>65</v>
      </c>
      <c r="K343" t="s">
        <v>102</v>
      </c>
      <c r="L343" t="s">
        <v>113</v>
      </c>
      <c r="M343" t="s">
        <v>114</v>
      </c>
      <c r="N343" t="s">
        <v>1</v>
      </c>
      <c r="O343" t="s">
        <v>23</v>
      </c>
      <c r="P343" t="s">
        <v>146</v>
      </c>
    </row>
    <row r="344" spans="1:16" x14ac:dyDescent="0.25">
      <c r="A344">
        <v>1</v>
      </c>
      <c r="B344">
        <v>7</v>
      </c>
      <c r="C344">
        <f t="shared" ref="C344:C347" si="14">B344*A344</f>
        <v>7</v>
      </c>
      <c r="D344" s="12">
        <f t="shared" ref="D344:D347" si="15">B356*$B$348</f>
        <v>5.2756347656250009</v>
      </c>
      <c r="J344" t="s">
        <v>141</v>
      </c>
      <c r="K344">
        <v>2</v>
      </c>
      <c r="L344">
        <v>10</v>
      </c>
      <c r="M344">
        <f>L344+5</f>
        <v>15</v>
      </c>
      <c r="N344">
        <f>(M344+L344)/2</f>
        <v>12.5</v>
      </c>
      <c r="O344">
        <f>K344*N344</f>
        <v>25</v>
      </c>
      <c r="P344">
        <f>(N344*N344)*K344</f>
        <v>312.5</v>
      </c>
    </row>
    <row r="345" spans="1:16" x14ac:dyDescent="0.25">
      <c r="A345">
        <v>2</v>
      </c>
      <c r="B345">
        <v>6</v>
      </c>
      <c r="C345">
        <f t="shared" si="14"/>
        <v>12</v>
      </c>
      <c r="D345" s="12">
        <f t="shared" si="15"/>
        <v>10.174438476562502</v>
      </c>
      <c r="J345" t="s">
        <v>142</v>
      </c>
      <c r="K345">
        <v>10</v>
      </c>
      <c r="L345">
        <v>15</v>
      </c>
      <c r="M345">
        <f t="shared" ref="M345:M348" si="16">L345+5</f>
        <v>20</v>
      </c>
      <c r="N345">
        <f t="shared" ref="N345:N348" si="17">(M345+L345)/2</f>
        <v>17.5</v>
      </c>
      <c r="O345">
        <f t="shared" ref="O345:O348" si="18">K345*N345</f>
        <v>175</v>
      </c>
      <c r="P345">
        <f t="shared" ref="P345:P348" si="19">(N345*N345)*K345</f>
        <v>3062.5</v>
      </c>
    </row>
    <row r="346" spans="1:16" x14ac:dyDescent="0.25">
      <c r="A346">
        <v>3</v>
      </c>
      <c r="B346">
        <v>8</v>
      </c>
      <c r="C346">
        <f t="shared" si="14"/>
        <v>24</v>
      </c>
      <c r="D346" s="12">
        <f t="shared" si="15"/>
        <v>8.7209472656249982</v>
      </c>
      <c r="J346" t="s">
        <v>143</v>
      </c>
      <c r="K346">
        <v>20</v>
      </c>
      <c r="L346">
        <v>20</v>
      </c>
      <c r="M346">
        <f t="shared" si="16"/>
        <v>25</v>
      </c>
      <c r="N346">
        <f t="shared" si="17"/>
        <v>22.5</v>
      </c>
      <c r="O346">
        <f t="shared" si="18"/>
        <v>450</v>
      </c>
      <c r="P346">
        <f t="shared" si="19"/>
        <v>10125</v>
      </c>
    </row>
    <row r="347" spans="1:16" x14ac:dyDescent="0.25">
      <c r="A347">
        <v>4</v>
      </c>
      <c r="B347">
        <v>5</v>
      </c>
      <c r="C347">
        <f t="shared" si="14"/>
        <v>20</v>
      </c>
      <c r="D347" s="12">
        <f t="shared" si="15"/>
        <v>2.8031616210937509</v>
      </c>
      <c r="J347" t="s">
        <v>144</v>
      </c>
      <c r="K347">
        <v>6</v>
      </c>
      <c r="L347">
        <v>25</v>
      </c>
      <c r="M347">
        <f t="shared" si="16"/>
        <v>30</v>
      </c>
      <c r="N347">
        <f t="shared" si="17"/>
        <v>27.5</v>
      </c>
      <c r="O347">
        <f t="shared" si="18"/>
        <v>165</v>
      </c>
      <c r="P347">
        <f t="shared" si="19"/>
        <v>4537.5</v>
      </c>
    </row>
    <row r="348" spans="1:16" x14ac:dyDescent="0.25">
      <c r="A348" t="s">
        <v>51</v>
      </c>
      <c r="B348">
        <f>SUM(B343:B347)</f>
        <v>28</v>
      </c>
      <c r="C348">
        <f>SUM(C343:C347)</f>
        <v>63</v>
      </c>
      <c r="D348" s="12">
        <f>SUM(D343:D347)</f>
        <v>28</v>
      </c>
      <c r="J348" t="s">
        <v>145</v>
      </c>
      <c r="K348">
        <v>3</v>
      </c>
      <c r="L348">
        <v>30</v>
      </c>
      <c r="M348">
        <f t="shared" si="16"/>
        <v>35</v>
      </c>
      <c r="N348">
        <f t="shared" si="17"/>
        <v>32.5</v>
      </c>
      <c r="O348">
        <f t="shared" si="18"/>
        <v>97.5</v>
      </c>
      <c r="P348">
        <f t="shared" si="19"/>
        <v>3168.75</v>
      </c>
    </row>
    <row r="349" spans="1:16" x14ac:dyDescent="0.25">
      <c r="J349" t="s">
        <v>147</v>
      </c>
      <c r="K349">
        <f>SUM(K344:K348)</f>
        <v>41</v>
      </c>
      <c r="O349">
        <f>SUM(O344:O348)</f>
        <v>912.5</v>
      </c>
      <c r="P349">
        <f>SUM(P344:P348)</f>
        <v>21206.25</v>
      </c>
    </row>
    <row r="350" spans="1:16" x14ac:dyDescent="0.25">
      <c r="A350" t="s">
        <v>77</v>
      </c>
      <c r="B350">
        <f>C348/B348</f>
        <v>2.25</v>
      </c>
    </row>
    <row r="351" spans="1:16" x14ac:dyDescent="0.25">
      <c r="A351" t="s">
        <v>27</v>
      </c>
      <c r="B351">
        <v>2.25</v>
      </c>
      <c r="I351" t="s">
        <v>77</v>
      </c>
      <c r="J351" s="11">
        <f>O349/K349</f>
        <v>22.256097560975611</v>
      </c>
    </row>
    <row r="352" spans="1:16" x14ac:dyDescent="0.25">
      <c r="A352" t="s">
        <v>25</v>
      </c>
      <c r="B352">
        <f>B351/4</f>
        <v>0.5625</v>
      </c>
      <c r="I352" t="s">
        <v>40</v>
      </c>
      <c r="J352" s="11">
        <f>SQRT(1/K349*P349-(J351^2))</f>
        <v>4.6788600227441126</v>
      </c>
    </row>
    <row r="353" spans="1:6" x14ac:dyDescent="0.25">
      <c r="A353" t="s">
        <v>26</v>
      </c>
      <c r="B353">
        <f>1-B352</f>
        <v>0.4375</v>
      </c>
    </row>
    <row r="355" spans="1:6" x14ac:dyDescent="0.25">
      <c r="A355" t="s">
        <v>131</v>
      </c>
      <c r="B355">
        <f>_xlfn.BINOM.DIST(A343,4,$B$352,0)</f>
        <v>3.66363525390625E-2</v>
      </c>
    </row>
    <row r="356" spans="1:6" x14ac:dyDescent="0.25">
      <c r="A356" t="s">
        <v>132</v>
      </c>
      <c r="B356">
        <f t="shared" ref="B356:B359" si="20">_xlfn.BINOM.DIST(A344,4,$B$352,0)</f>
        <v>0.18841552734375003</v>
      </c>
    </row>
    <row r="357" spans="1:6" x14ac:dyDescent="0.25">
      <c r="A357" t="s">
        <v>133</v>
      </c>
      <c r="B357">
        <f t="shared" si="20"/>
        <v>0.36337280273437506</v>
      </c>
    </row>
    <row r="358" spans="1:6" x14ac:dyDescent="0.25">
      <c r="A358" t="s">
        <v>134</v>
      </c>
      <c r="B358">
        <f t="shared" si="20"/>
        <v>0.31146240234374994</v>
      </c>
    </row>
    <row r="359" spans="1:6" x14ac:dyDescent="0.25">
      <c r="A359" t="s">
        <v>135</v>
      </c>
      <c r="B359">
        <f t="shared" si="20"/>
        <v>0.10011291503906253</v>
      </c>
    </row>
    <row r="360" spans="1:6" x14ac:dyDescent="0.25">
      <c r="A360" t="s">
        <v>136</v>
      </c>
      <c r="B360">
        <f>SUM(B355:B359)</f>
        <v>1</v>
      </c>
    </row>
    <row r="362" spans="1:6" x14ac:dyDescent="0.25">
      <c r="A362" s="1" t="s">
        <v>9</v>
      </c>
    </row>
    <row r="363" spans="1:6" ht="15.75" thickBot="1" x14ac:dyDescent="0.3">
      <c r="A363" t="s">
        <v>138</v>
      </c>
    </row>
    <row r="364" spans="1:6" x14ac:dyDescent="0.25">
      <c r="A364" s="54" t="s">
        <v>1</v>
      </c>
      <c r="B364" s="55">
        <v>0</v>
      </c>
      <c r="C364" s="55">
        <v>1</v>
      </c>
      <c r="D364" s="55">
        <v>2</v>
      </c>
      <c r="E364" s="55">
        <v>3</v>
      </c>
      <c r="F364" s="56">
        <v>4</v>
      </c>
    </row>
    <row r="365" spans="1:6" ht="15.75" thickBot="1" x14ac:dyDescent="0.3">
      <c r="A365" s="57" t="s">
        <v>139</v>
      </c>
      <c r="B365" s="58">
        <v>1.02581787109375</v>
      </c>
      <c r="C365" s="58">
        <v>5.2756347656250009</v>
      </c>
      <c r="D365" s="58">
        <v>10.174438476562502</v>
      </c>
      <c r="E365" s="58">
        <v>8.7209472656249982</v>
      </c>
      <c r="F365" s="59">
        <v>2.8031616210937509</v>
      </c>
    </row>
    <row r="386" spans="1:10" x14ac:dyDescent="0.25">
      <c r="I386" t="s">
        <v>158</v>
      </c>
    </row>
    <row r="387" spans="1:10" x14ac:dyDescent="0.25">
      <c r="B387" t="s">
        <v>148</v>
      </c>
      <c r="I387" t="s">
        <v>159</v>
      </c>
    </row>
    <row r="388" spans="1:10" x14ac:dyDescent="0.25">
      <c r="B388" t="s">
        <v>149</v>
      </c>
      <c r="I388" t="s">
        <v>160</v>
      </c>
    </row>
    <row r="389" spans="1:10" x14ac:dyDescent="0.25">
      <c r="A389" t="s">
        <v>51</v>
      </c>
      <c r="B389">
        <v>50</v>
      </c>
    </row>
    <row r="390" spans="1:10" x14ac:dyDescent="0.25">
      <c r="A390" s="2" t="s">
        <v>152</v>
      </c>
      <c r="B390">
        <v>75</v>
      </c>
    </row>
    <row r="391" spans="1:10" x14ac:dyDescent="0.25">
      <c r="A391" s="2" t="s">
        <v>157</v>
      </c>
      <c r="B391">
        <v>1.5</v>
      </c>
      <c r="I391" t="s">
        <v>51</v>
      </c>
      <c r="J391">
        <v>100</v>
      </c>
    </row>
    <row r="392" spans="1:10" x14ac:dyDescent="0.25">
      <c r="A392" s="2" t="s">
        <v>156</v>
      </c>
      <c r="B392">
        <v>0.05</v>
      </c>
      <c r="C392" t="s">
        <v>151</v>
      </c>
      <c r="D392">
        <f>1-B392/2</f>
        <v>0.97499999999999998</v>
      </c>
      <c r="I392" t="s">
        <v>161</v>
      </c>
      <c r="J392">
        <v>55</v>
      </c>
    </row>
    <row r="393" spans="1:10" x14ac:dyDescent="0.25">
      <c r="A393" t="s">
        <v>150</v>
      </c>
      <c r="B393" s="67">
        <f>_xlfn.NORM.S.INV(D392)</f>
        <v>1.9599639845400536</v>
      </c>
      <c r="I393" t="s">
        <v>40</v>
      </c>
      <c r="J393">
        <v>5</v>
      </c>
    </row>
    <row r="394" spans="1:10" x14ac:dyDescent="0.25">
      <c r="A394" t="s">
        <v>153</v>
      </c>
      <c r="B394" s="51">
        <f>B391/SQRT(B389)</f>
        <v>0.21213203435596426</v>
      </c>
      <c r="I394" s="2" t="s">
        <v>152</v>
      </c>
      <c r="J394">
        <v>52</v>
      </c>
    </row>
    <row r="395" spans="1:10" x14ac:dyDescent="0.25">
      <c r="A395" t="s">
        <v>52</v>
      </c>
      <c r="B395" s="51">
        <f>B393*B394</f>
        <v>0.41577114730490322</v>
      </c>
      <c r="I395" s="2" t="s">
        <v>52</v>
      </c>
      <c r="J395">
        <f>J392-J394</f>
        <v>3</v>
      </c>
    </row>
    <row r="396" spans="1:10" x14ac:dyDescent="0.25">
      <c r="A396" s="2" t="s">
        <v>154</v>
      </c>
      <c r="B396" s="67">
        <f>B390-B395</f>
        <v>74.584228852695091</v>
      </c>
      <c r="I396" s="2" t="s">
        <v>53</v>
      </c>
      <c r="J396">
        <f>J393/SQRT(J391)</f>
        <v>0.5</v>
      </c>
    </row>
    <row r="397" spans="1:10" x14ac:dyDescent="0.25">
      <c r="A397" s="2" t="s">
        <v>155</v>
      </c>
      <c r="B397" s="67">
        <f>B390+B395</f>
        <v>75.415771147304909</v>
      </c>
      <c r="I397" s="2" t="s">
        <v>54</v>
      </c>
      <c r="J397">
        <f>J395/J396</f>
        <v>6</v>
      </c>
    </row>
    <row r="398" spans="1:10" x14ac:dyDescent="0.25">
      <c r="I398" s="2" t="s">
        <v>58</v>
      </c>
      <c r="J398">
        <f>_xlfn.NORM.S.INV(0.975)</f>
        <v>1.9599639845400536</v>
      </c>
    </row>
    <row r="400" spans="1:10" x14ac:dyDescent="0.25">
      <c r="I400" t="str">
        <f>IF(J397&lt;J398,"Null Hypothesis is accepted","Null Hypothesis is rejected")</f>
        <v>Null Hypothesis is rejected</v>
      </c>
    </row>
  </sheetData>
  <mergeCells count="33">
    <mergeCell ref="I290:J290"/>
    <mergeCell ref="I292:J292"/>
    <mergeCell ref="B75:C75"/>
    <mergeCell ref="B34:C34"/>
    <mergeCell ref="B7:C7"/>
    <mergeCell ref="B48:C48"/>
    <mergeCell ref="J98:M98"/>
    <mergeCell ref="J99:M99"/>
    <mergeCell ref="K6:N6"/>
    <mergeCell ref="K7:N7"/>
    <mergeCell ref="K8:N8"/>
    <mergeCell ref="K9:N9"/>
    <mergeCell ref="K11:M11"/>
    <mergeCell ref="K16:K17"/>
    <mergeCell ref="L16:N17"/>
    <mergeCell ref="K12:N13"/>
    <mergeCell ref="K14:K15"/>
    <mergeCell ref="L14:N15"/>
    <mergeCell ref="K48:L49"/>
    <mergeCell ref="K88:O89"/>
    <mergeCell ref="K93:P93"/>
    <mergeCell ref="J96:K96"/>
    <mergeCell ref="J97:M97"/>
    <mergeCell ref="N96:O96"/>
    <mergeCell ref="N104:O105"/>
    <mergeCell ref="K122:L122"/>
    <mergeCell ref="K123:L123"/>
    <mergeCell ref="A236:H236"/>
    <mergeCell ref="A135:H135"/>
    <mergeCell ref="A153:H153"/>
    <mergeCell ref="J160:K160"/>
    <mergeCell ref="J161:O161"/>
    <mergeCell ref="J185:P185"/>
  </mergeCells>
  <phoneticPr fontId="10" type="noConversion"/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2023-08-21T08:39:07Z</dcterms:modified>
</cp:coreProperties>
</file>