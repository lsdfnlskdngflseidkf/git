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jwal\git\business Stats\"/>
    </mc:Choice>
  </mc:AlternateContent>
  <xr:revisionPtr revIDLastSave="0" documentId="13_ncr:1_{BE6ED157-C9DD-4011-9B9C-C5A58A273E3D}" xr6:coauthVersionLast="47" xr6:coauthVersionMax="47" xr10:uidLastSave="{00000000-0000-0000-0000-000000000000}"/>
  <bookViews>
    <workbookView xWindow="-120" yWindow="-120" windowWidth="29040" windowHeight="15720" activeTab="2" xr2:uid="{84D76DE3-8557-4722-B5C1-4893E077E0C2}"/>
  </bookViews>
  <sheets>
    <sheet name="Sheet1" sheetId="1" r:id="rId1"/>
    <sheet name="Sheet2" sheetId="2" r:id="rId2"/>
    <sheet name="Sheet3" sheetId="3" r:id="rId3"/>
  </sheets>
  <definedNames>
    <definedName name="_xlnm.Print_Area" localSheetId="2">Sheet3!$A$1:$Q$234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95" i="3" l="1"/>
  <c r="O296" i="3"/>
  <c r="O297" i="3"/>
  <c r="O298" i="3"/>
  <c r="O294" i="3"/>
  <c r="L296" i="3"/>
  <c r="L297" i="3" s="1"/>
  <c r="L298" i="3" s="1"/>
  <c r="L295" i="3"/>
  <c r="L294" i="3"/>
  <c r="C309" i="3"/>
  <c r="C305" i="3"/>
  <c r="C306" i="3"/>
  <c r="C304" i="3"/>
  <c r="C300" i="3"/>
  <c r="C301" i="3"/>
  <c r="C302" i="3"/>
  <c r="B298" i="3"/>
  <c r="C293" i="3"/>
  <c r="C294" i="3" s="1"/>
  <c r="C295" i="3" s="1"/>
  <c r="C296" i="3" s="1"/>
  <c r="C297" i="3" s="1"/>
  <c r="J267" i="3"/>
  <c r="J262" i="3"/>
  <c r="J261" i="3"/>
  <c r="J264" i="3" s="1"/>
  <c r="J260" i="3"/>
  <c r="K258" i="3"/>
  <c r="J258" i="3"/>
  <c r="K257" i="3"/>
  <c r="J257" i="3"/>
  <c r="K256" i="3"/>
  <c r="J256" i="3"/>
  <c r="J254" i="3"/>
  <c r="K251" i="3"/>
  <c r="K252" i="3" s="1"/>
  <c r="K253" i="3" s="1"/>
  <c r="K249" i="3"/>
  <c r="K250" i="3" s="1"/>
  <c r="D242" i="3"/>
  <c r="D244" i="3"/>
  <c r="D247" i="3" s="1"/>
  <c r="C251" i="3" s="1"/>
  <c r="D243" i="3"/>
  <c r="J205" i="3"/>
  <c r="B200" i="3"/>
  <c r="J156" i="3"/>
  <c r="J155" i="3"/>
  <c r="J157" i="3" s="1"/>
  <c r="K164" i="3" s="1"/>
  <c r="J154" i="3"/>
  <c r="K144" i="3"/>
  <c r="L144" i="3" s="1"/>
  <c r="K145" i="3"/>
  <c r="L145" i="3" s="1"/>
  <c r="K146" i="3"/>
  <c r="K143" i="3"/>
  <c r="L143" i="3" s="1"/>
  <c r="P144" i="3"/>
  <c r="P145" i="3" s="1"/>
  <c r="P146" i="3" s="1"/>
  <c r="J150" i="3" s="1"/>
  <c r="P143" i="3"/>
  <c r="J147" i="3"/>
  <c r="J152" i="3" s="1"/>
  <c r="J153" i="3" s="1"/>
  <c r="K163" i="3" s="1"/>
  <c r="O143" i="3"/>
  <c r="O144" i="3"/>
  <c r="O145" i="3"/>
  <c r="O146" i="3"/>
  <c r="O142" i="3"/>
  <c r="L146" i="3"/>
  <c r="L142" i="3"/>
  <c r="K142" i="3"/>
  <c r="G150" i="3"/>
  <c r="C110" i="3"/>
  <c r="O106" i="3"/>
  <c r="C108" i="3"/>
  <c r="C109" i="3"/>
  <c r="C111" i="3"/>
  <c r="L64" i="3"/>
  <c r="L55" i="3"/>
  <c r="L56" i="3" s="1"/>
  <c r="L54" i="3"/>
  <c r="L53" i="3"/>
  <c r="L21" i="3"/>
  <c r="L22" i="3"/>
  <c r="L23" i="3"/>
  <c r="L24" i="3"/>
  <c r="L147" i="3" l="1"/>
  <c r="J151" i="3" s="1"/>
  <c r="K162" i="3" s="1"/>
  <c r="L57" i="3"/>
  <c r="L58" i="3" s="1"/>
  <c r="K67" i="3" s="1"/>
  <c r="E20" i="3"/>
  <c r="F20" i="3" s="1"/>
  <c r="E61" i="3"/>
  <c r="F61" i="3" s="1"/>
  <c r="E62" i="3"/>
  <c r="F62" i="3" s="1"/>
  <c r="E63" i="3"/>
  <c r="F63" i="3" s="1"/>
  <c r="E64" i="3"/>
  <c r="F64" i="3" s="1"/>
  <c r="E65" i="3"/>
  <c r="F65" i="3" s="1"/>
  <c r="E66" i="3"/>
  <c r="F66" i="3" s="1"/>
  <c r="C67" i="3"/>
  <c r="D66" i="3"/>
  <c r="D65" i="3"/>
  <c r="D64" i="3"/>
  <c r="D63" i="3"/>
  <c r="D62" i="3"/>
  <c r="D61" i="3"/>
  <c r="C26" i="3"/>
  <c r="E25" i="3"/>
  <c r="F25" i="3" s="1"/>
  <c r="D25" i="3"/>
  <c r="E24" i="3"/>
  <c r="F24" i="3" s="1"/>
  <c r="D24" i="3"/>
  <c r="E23" i="3"/>
  <c r="F23" i="3" s="1"/>
  <c r="D23" i="3"/>
  <c r="E22" i="3"/>
  <c r="F22" i="3" s="1"/>
  <c r="D22" i="3"/>
  <c r="E21" i="3"/>
  <c r="F21" i="3" s="1"/>
  <c r="D21" i="3"/>
  <c r="D20" i="3"/>
  <c r="D67" i="3" l="1"/>
  <c r="C70" i="3" s="1"/>
  <c r="E67" i="3"/>
  <c r="F67" i="3"/>
  <c r="E26" i="3"/>
  <c r="D26" i="3"/>
  <c r="C29" i="3" s="1"/>
  <c r="C30" i="3" s="1"/>
  <c r="C31" i="3" s="1"/>
  <c r="F26" i="3"/>
</calcChain>
</file>

<file path=xl/sharedStrings.xml><?xml version="1.0" encoding="utf-8"?>
<sst xmlns="http://schemas.openxmlformats.org/spreadsheetml/2006/main" count="244" uniqueCount="130">
  <si>
    <t>Calculate the correlation of the following data</t>
  </si>
  <si>
    <t>x</t>
  </si>
  <si>
    <t>y</t>
  </si>
  <si>
    <t>Also write the correlation coefficient</t>
  </si>
  <si>
    <t>Working Expression:</t>
  </si>
  <si>
    <t>1correlation(x,y)=cov(x,y)/v(x)^-2*v(y)^-2</t>
  </si>
  <si>
    <t>calculation:</t>
  </si>
  <si>
    <t>r(x,y)</t>
  </si>
  <si>
    <t>r(xy)=nΣxy-ΣxΣy/(nΣx62))^-2(nΣy^2-(Σy)^2)^-2</t>
  </si>
  <si>
    <t>Conclusion:</t>
  </si>
  <si>
    <t>Since r(x,y)&gt;0 the correlation is Highly positive</t>
  </si>
  <si>
    <t>Fit the following data on the regression of y on x</t>
  </si>
  <si>
    <t>Also fin dout the value when x=10</t>
  </si>
  <si>
    <t>Working Experssion:</t>
  </si>
  <si>
    <t>1.y=a+bx</t>
  </si>
  <si>
    <t>2.ey=na+bΣx</t>
  </si>
  <si>
    <t>3.Σxy=aΣx+bΣx^2</t>
  </si>
  <si>
    <t>Calculation:</t>
  </si>
  <si>
    <t>When x=10,then</t>
  </si>
  <si>
    <t>y=</t>
  </si>
  <si>
    <t>Regression equation</t>
  </si>
  <si>
    <t>1.2209x+0.6279</t>
  </si>
  <si>
    <t>f</t>
  </si>
  <si>
    <t>fx</t>
  </si>
  <si>
    <t>mean</t>
  </si>
  <si>
    <t>p</t>
  </si>
  <si>
    <t>q</t>
  </si>
  <si>
    <t>np</t>
  </si>
  <si>
    <t>p(x)</t>
  </si>
  <si>
    <t>EF</t>
  </si>
  <si>
    <t>Fit the following data in Binomial Distribution.</t>
  </si>
  <si>
    <r>
      <t>2.</t>
    </r>
    <r>
      <rPr>
        <sz val="7"/>
        <color theme="1"/>
        <rFont val="Times New Roman"/>
        <family val="1"/>
      </rPr>
      <t xml:space="preserve">   </t>
    </r>
  </si>
  <si>
    <t xml:space="preserve"> </t>
  </si>
  <si>
    <r>
      <t>3.</t>
    </r>
    <r>
      <rPr>
        <vertAlign val="superscript"/>
        <sz val="7"/>
        <color theme="1"/>
        <rFont val="Times New Roman"/>
        <family val="1"/>
      </rPr>
      <t xml:space="preserve">             </t>
    </r>
    <r>
      <rPr>
        <sz val="15"/>
        <color theme="1"/>
        <rFont val="Calibri"/>
        <family val="2"/>
        <scheme val="minor"/>
      </rPr>
      <t xml:space="preserve">P(x) = </t>
    </r>
    <r>
      <rPr>
        <vertAlign val="superscript"/>
        <sz val="15"/>
        <color theme="1"/>
        <rFont val="Calibri"/>
        <family val="2"/>
        <scheme val="minor"/>
      </rPr>
      <t>n</t>
    </r>
    <r>
      <rPr>
        <sz val="15"/>
        <color theme="1"/>
        <rFont val="Calibri"/>
        <family val="2"/>
        <scheme val="minor"/>
      </rPr>
      <t>C</t>
    </r>
    <r>
      <rPr>
        <vertAlign val="subscript"/>
        <sz val="15"/>
        <color theme="1"/>
        <rFont val="Calibri"/>
        <family val="2"/>
        <scheme val="minor"/>
      </rPr>
      <t>x</t>
    </r>
    <r>
      <rPr>
        <sz val="15"/>
        <color theme="1"/>
        <rFont val="Calibri"/>
        <family val="2"/>
        <scheme val="minor"/>
      </rPr>
      <t>p</t>
    </r>
    <r>
      <rPr>
        <vertAlign val="superscript"/>
        <sz val="15"/>
        <color theme="1"/>
        <rFont val="Calibri"/>
        <family val="2"/>
        <scheme val="minor"/>
      </rPr>
      <t>x</t>
    </r>
    <r>
      <rPr>
        <sz val="15"/>
        <color theme="1"/>
        <rFont val="Calibri"/>
        <family val="2"/>
        <scheme val="minor"/>
      </rPr>
      <t>q</t>
    </r>
    <r>
      <rPr>
        <vertAlign val="superscript"/>
        <sz val="15"/>
        <color theme="1"/>
        <rFont val="Calibri"/>
        <family val="2"/>
        <scheme val="minor"/>
      </rPr>
      <t>n-x</t>
    </r>
  </si>
  <si>
    <t>Fit the following data in Poisson Distribution.</t>
  </si>
  <si>
    <t>Let the mean &amp; SD of the normal distribution br 75 and 4 respectively.</t>
  </si>
  <si>
    <t>Find out the following probabilities</t>
  </si>
  <si>
    <r>
      <t>i)</t>
    </r>
    <r>
      <rPr>
        <sz val="7"/>
        <color theme="1"/>
        <rFont val="Times New Roman"/>
        <family val="1"/>
      </rPr>
      <t xml:space="preserve">                    </t>
    </r>
    <r>
      <rPr>
        <sz val="11"/>
        <color theme="1"/>
        <rFont val="Calibri"/>
        <family val="2"/>
        <scheme val="minor"/>
      </rPr>
      <t>P(x&lt;60)</t>
    </r>
  </si>
  <si>
    <r>
      <t>ii)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1"/>
        <color theme="1"/>
        <rFont val="Calibri"/>
        <family val="2"/>
        <scheme val="minor"/>
      </rPr>
      <t>P(x&gt;65)</t>
    </r>
  </si>
  <si>
    <r>
      <t>iii)</t>
    </r>
    <r>
      <rPr>
        <sz val="7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>P(80&lt;=x&lt;=90)</t>
    </r>
  </si>
  <si>
    <t>SD</t>
  </si>
  <si>
    <t>p(x&lt;60)</t>
  </si>
  <si>
    <t>Working Expresson:</t>
  </si>
  <si>
    <t>p(x&gt;65)</t>
  </si>
  <si>
    <t>p(80&lt;=x&lt;=90)</t>
  </si>
  <si>
    <t> P(60&lt;=x&lt;=84)</t>
  </si>
  <si>
    <r>
      <t>iv)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P(60&lt;=x&lt;=84)</t>
    </r>
  </si>
  <si>
    <r>
      <t>i)</t>
    </r>
    <r>
      <rPr>
        <sz val="7"/>
        <color theme="1"/>
        <rFont val="Times New Roman"/>
        <family val="1"/>
      </rPr>
      <t xml:space="preserve">                    </t>
    </r>
  </si>
  <si>
    <r>
      <t xml:space="preserve">i)                                              </t>
    </r>
    <r>
      <rPr>
        <sz val="7"/>
        <color theme="1"/>
        <rFont val="Times New Roman"/>
        <family val="1"/>
      </rPr>
      <t xml:space="preserve">                    </t>
    </r>
  </si>
  <si>
    <t>P</t>
  </si>
  <si>
    <t>Q</t>
  </si>
  <si>
    <t>n</t>
  </si>
  <si>
    <t>Error</t>
  </si>
  <si>
    <t>SE</t>
  </si>
  <si>
    <t>Zcal</t>
  </si>
  <si>
    <t>Tabulation:</t>
  </si>
  <si>
    <t>alpha</t>
  </si>
  <si>
    <t>NO of tails</t>
  </si>
  <si>
    <t>Ztab</t>
  </si>
  <si>
    <t>There are 40 boys and 50 girls in a sample of BIM students.</t>
  </si>
  <si>
    <t>On the basis of this sample, can we say that there are equal no of boys and girls in BIM class.</t>
  </si>
  <si>
    <t>Σx</t>
  </si>
  <si>
    <t>Median</t>
  </si>
  <si>
    <t>mode</t>
  </si>
  <si>
    <t>Calculate Mean Median and mode of the following data</t>
  </si>
  <si>
    <t>class</t>
  </si>
  <si>
    <t>0-10</t>
  </si>
  <si>
    <t>20-30</t>
  </si>
  <si>
    <t>30-40</t>
  </si>
  <si>
    <t>40-50</t>
  </si>
  <si>
    <t>Freq</t>
  </si>
  <si>
    <t>10--20</t>
  </si>
  <si>
    <t>U</t>
  </si>
  <si>
    <t>L</t>
  </si>
  <si>
    <t>H</t>
  </si>
  <si>
    <t>CF</t>
  </si>
  <si>
    <t>N</t>
  </si>
  <si>
    <t>Mean</t>
  </si>
  <si>
    <t>Total</t>
  </si>
  <si>
    <t>median</t>
  </si>
  <si>
    <t>Md class</t>
  </si>
  <si>
    <t>th class</t>
  </si>
  <si>
    <t>Md</t>
  </si>
  <si>
    <t>modal class</t>
  </si>
  <si>
    <t>D1</t>
  </si>
  <si>
    <t>D2</t>
  </si>
  <si>
    <t>the mean median and mode of the above distribution is</t>
  </si>
  <si>
    <t>Mode</t>
  </si>
  <si>
    <t>Calculate the Standard Deviation of the following data</t>
  </si>
  <si>
    <t>X: 1,4,6,8,2,3,5</t>
  </si>
  <si>
    <t>Caclulate the SD of the following data</t>
  </si>
  <si>
    <t>Find out the bowley's coff of skewness from the following data</t>
  </si>
  <si>
    <t>X:</t>
  </si>
  <si>
    <t>10,15,9,6,8,10,16,18,19,16,15,10</t>
  </si>
  <si>
    <t>q3</t>
  </si>
  <si>
    <t>q1</t>
  </si>
  <si>
    <t>q2</t>
  </si>
  <si>
    <t>sk</t>
  </si>
  <si>
    <t>Calculate bowley's coefficient of skewness of the following data</t>
  </si>
  <si>
    <t>class:</t>
  </si>
  <si>
    <t>freq:</t>
  </si>
  <si>
    <t>sk=</t>
  </si>
  <si>
    <t>freq</t>
  </si>
  <si>
    <t>cf</t>
  </si>
  <si>
    <t>q1 class</t>
  </si>
  <si>
    <t>q2 class</t>
  </si>
  <si>
    <t>q3 class</t>
  </si>
  <si>
    <t>Sk</t>
  </si>
  <si>
    <t>Calculate the voeff of skewness form the following data</t>
  </si>
  <si>
    <t>p10 class</t>
  </si>
  <si>
    <t>p50 class</t>
  </si>
  <si>
    <t>p90 class</t>
  </si>
  <si>
    <t>p10</t>
  </si>
  <si>
    <t>l</t>
  </si>
  <si>
    <t>u</t>
  </si>
  <si>
    <t>p50</t>
  </si>
  <si>
    <t>p90</t>
  </si>
  <si>
    <t>The distribution is positively skewed</t>
  </si>
  <si>
    <t>Draw the less than freq curve and find out the median graphically</t>
  </si>
  <si>
    <t>50-60</t>
  </si>
  <si>
    <t>(N/2)th term</t>
  </si>
  <si>
    <t>Less than class</t>
  </si>
  <si>
    <t>less than 20</t>
  </si>
  <si>
    <t>less than 30</t>
  </si>
  <si>
    <t>less than 40</t>
  </si>
  <si>
    <t>less than 50</t>
  </si>
  <si>
    <t>less than 60</t>
  </si>
  <si>
    <t>Class</t>
  </si>
  <si>
    <t>frequency</t>
  </si>
  <si>
    <t>The median of the above distribution is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</si>
</sst>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7"/>
      <color theme="1"/>
      <name val="Times New Roman"/>
      <family val="1"/>
    </font>
    <font>
      <vertAlign val="superscript"/>
      <sz val="16"/>
      <color theme="1"/>
      <name val="Calibri"/>
      <family val="2"/>
      <scheme val="minor"/>
    </font>
    <font>
      <vertAlign val="superscript"/>
      <sz val="7"/>
      <color theme="1"/>
      <name val="Times New Roman"/>
      <family val="1"/>
    </font>
    <font>
      <vertAlign val="superscript"/>
      <sz val="15"/>
      <color theme="1"/>
      <name val="Calibri"/>
      <family val="2"/>
      <scheme val="minor"/>
    </font>
    <font>
      <vertAlign val="subscript"/>
      <sz val="15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1" xfId="0" applyBorder="1"/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0" fillId="0" borderId="7" xfId="0" applyBorder="1"/>
    <xf numFmtId="2" fontId="0" fillId="0" borderId="0" xfId="0" applyNumberFormat="1"/>
    <xf numFmtId="1" fontId="0" fillId="0" borderId="0" xfId="0" applyNumberFormat="1"/>
    <xf numFmtId="0" fontId="3" fillId="0" borderId="1" xfId="0" applyFont="1" applyBorder="1" applyAlignment="1">
      <alignment vertical="center" wrapText="1"/>
    </xf>
    <xf numFmtId="164" fontId="0" fillId="0" borderId="1" xfId="0" applyNumberFormat="1" applyBorder="1"/>
    <xf numFmtId="1" fontId="0" fillId="0" borderId="1" xfId="0" applyNumberFormat="1" applyBorder="1"/>
    <xf numFmtId="1" fontId="0" fillId="0" borderId="4" xfId="0" applyNumberFormat="1" applyBorder="1"/>
    <xf numFmtId="0" fontId="3" fillId="0" borderId="12" xfId="0" applyFont="1" applyBorder="1" applyAlignment="1">
      <alignment vertical="center" wrapText="1"/>
    </xf>
    <xf numFmtId="0" fontId="0" fillId="0" borderId="12" xfId="0" applyBorder="1"/>
    <xf numFmtId="164" fontId="0" fillId="0" borderId="12" xfId="0" applyNumberFormat="1" applyBorder="1"/>
    <xf numFmtId="1" fontId="0" fillId="0" borderId="6" xfId="0" applyNumberFormat="1" applyBorder="1"/>
    <xf numFmtId="0" fontId="3" fillId="0" borderId="13" xfId="0" applyFont="1" applyBorder="1" applyAlignment="1">
      <alignment vertical="center" wrapText="1"/>
    </xf>
    <xf numFmtId="0" fontId="0" fillId="0" borderId="13" xfId="0" applyBorder="1"/>
    <xf numFmtId="0" fontId="0" fillId="0" borderId="8" xfId="0" applyBorder="1"/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0" fillId="0" borderId="15" xfId="0" applyBorder="1"/>
    <xf numFmtId="164" fontId="0" fillId="0" borderId="15" xfId="0" applyNumberFormat="1" applyBorder="1"/>
    <xf numFmtId="1" fontId="0" fillId="0" borderId="16" xfId="0" applyNumberFormat="1" applyBorder="1"/>
    <xf numFmtId="164" fontId="0" fillId="0" borderId="13" xfId="0" applyNumberFormat="1" applyBorder="1"/>
    <xf numFmtId="1" fontId="0" fillId="0" borderId="8" xfId="0" applyNumberFormat="1" applyBorder="1"/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4" fillId="0" borderId="0" xfId="0" applyFont="1" applyAlignment="1">
      <alignment horizontal="left" vertical="center" indent="3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3"/>
    </xf>
    <xf numFmtId="0" fontId="8" fillId="0" borderId="0" xfId="0" applyFont="1" applyAlignment="1">
      <alignment horizontal="left" vertical="center" indent="3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17" fontId="1" fillId="0" borderId="9" xfId="0" applyNumberFormat="1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0" fillId="0" borderId="1" xfId="0" applyBorder="1" applyAlignment="1">
      <alignment horizontal="right"/>
    </xf>
    <xf numFmtId="164" fontId="0" fillId="0" borderId="0" xfId="0" applyNumberFormat="1"/>
    <xf numFmtId="0" fontId="1" fillId="0" borderId="18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/>
    <xf numFmtId="17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Sheet3!$N$98:$N$102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Sheet3!$O$98:$O$102</c:f>
              <c:numCache>
                <c:formatCode>General</c:formatCode>
                <c:ptCount val="5"/>
                <c:pt idx="0">
                  <c:v>2</c:v>
                </c:pt>
                <c:pt idx="1">
                  <c:v>9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B8-462E-BF70-EF03FA7C9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122064"/>
        <c:axId val="1701121232"/>
      </c:scatterChart>
      <c:valAx>
        <c:axId val="170112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121232"/>
        <c:crosses val="autoZero"/>
        <c:crossBetween val="midCat"/>
      </c:valAx>
      <c:valAx>
        <c:axId val="170112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122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Sheet3!$O$97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Sheet3!$N$98:$N$102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Sheet3!$O$98:$O$102</c:f>
              <c:numCache>
                <c:formatCode>General</c:formatCode>
                <c:ptCount val="5"/>
                <c:pt idx="0">
                  <c:v>2</c:v>
                </c:pt>
                <c:pt idx="1">
                  <c:v>9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DB-4CCA-B2E5-6FDCB38A7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251600"/>
        <c:axId val="1104245776"/>
      </c:scatterChart>
      <c:valAx>
        <c:axId val="110425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245776"/>
        <c:crosses val="autoZero"/>
        <c:crossBetween val="midCat"/>
      </c:valAx>
      <c:valAx>
        <c:axId val="11042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25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Sheet3!$O$293</c:f>
              <c:strCache>
                <c:ptCount val="1"/>
                <c:pt idx="0">
                  <c:v>frequency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Sheet3!$N$294:$N$298</c:f>
              <c:strCache>
                <c:ptCount val="5"/>
                <c:pt idx="0">
                  <c:v>less than 20</c:v>
                </c:pt>
                <c:pt idx="1">
                  <c:v>less than 30</c:v>
                </c:pt>
                <c:pt idx="2">
                  <c:v>less than 40</c:v>
                </c:pt>
                <c:pt idx="3">
                  <c:v>less than 50</c:v>
                </c:pt>
                <c:pt idx="4">
                  <c:v>less than 60</c:v>
                </c:pt>
              </c:strCache>
            </c:strRef>
          </c:cat>
          <c:val>
            <c:numRef>
              <c:f>Sheet3!$O$294:$O$298</c:f>
              <c:numCache>
                <c:formatCode>General</c:formatCode>
                <c:ptCount val="5"/>
                <c:pt idx="0">
                  <c:v>2</c:v>
                </c:pt>
                <c:pt idx="1">
                  <c:v>9</c:v>
                </c:pt>
                <c:pt idx="2">
                  <c:v>24</c:v>
                </c:pt>
                <c:pt idx="3">
                  <c:v>32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D-4988-AE16-6DFA57069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782671"/>
        <c:axId val="1309781007"/>
      </c:lineChart>
      <c:catAx>
        <c:axId val="130978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781007"/>
        <c:crosses val="autoZero"/>
        <c:auto val="1"/>
        <c:lblAlgn val="ctr"/>
        <c:lblOffset val="100"/>
        <c:noMultiLvlLbl val="0"/>
      </c:catAx>
      <c:valAx>
        <c:axId val="130978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78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219075</xdr:colOff>
      <xdr:row>11</xdr:row>
      <xdr:rowOff>168728</xdr:rowOff>
    </xdr:from>
    <xdr:to>
      <xdr:col>23</xdr:col>
      <xdr:colOff>314325</xdr:colOff>
      <xdr:row>25</xdr:row>
      <xdr:rowOff>92527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7B181E-AD58-4682-AC0F-8CD977BBE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180974</xdr:colOff>
      <xdr:row>5</xdr:row>
      <xdr:rowOff>238125</xdr:rowOff>
    </xdr:from>
    <xdr:to>
      <xdr:col>2</xdr:col>
      <xdr:colOff>547006</xdr:colOff>
      <xdr:row>7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802A36-5794-4CD2-9991-A4074A0EE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4" y="1419225"/>
          <a:ext cx="1309007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161925</xdr:colOff>
      <xdr:row>7</xdr:row>
      <xdr:rowOff>238125</xdr:rowOff>
    </xdr:from>
    <xdr:to>
      <xdr:col>1</xdr:col>
      <xdr:colOff>714375</xdr:colOff>
      <xdr:row>9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C27B68-0F0D-4020-8BAB-66D637295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2028825"/>
          <a:ext cx="5524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304800</xdr:colOff>
      <xdr:row>10</xdr:row>
      <xdr:rowOff>47625</xdr:rowOff>
    </xdr:from>
    <xdr:to>
      <xdr:col>1</xdr:col>
      <xdr:colOff>752475</xdr:colOff>
      <xdr:row>10</xdr:row>
      <xdr:rowOff>466725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74C2CE5-9B01-40B5-A840-F94CC1E6F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" y="2638425"/>
          <a:ext cx="4476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180974</xdr:colOff>
      <xdr:row>46</xdr:row>
      <xdr:rowOff>238125</xdr:rowOff>
    </xdr:from>
    <xdr:to>
      <xdr:col>2</xdr:col>
      <xdr:colOff>547006</xdr:colOff>
      <xdr:row>48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B68F738-F2E0-4410-8BB4-894A77AF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886" y="1414743"/>
          <a:ext cx="1307326" cy="443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161925</xdr:colOff>
      <xdr:row>48</xdr:row>
      <xdr:rowOff>238125</xdr:rowOff>
    </xdr:from>
    <xdr:to>
      <xdr:col>1</xdr:col>
      <xdr:colOff>714375</xdr:colOff>
      <xdr:row>50</xdr:row>
      <xdr:rowOff>47625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7EC647C-B08C-48AD-8C3C-6474D92CF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837" y="2019860"/>
          <a:ext cx="552450" cy="42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304800</xdr:colOff>
      <xdr:row>51</xdr:row>
      <xdr:rowOff>47625</xdr:rowOff>
    </xdr:from>
    <xdr:to>
      <xdr:col>1</xdr:col>
      <xdr:colOff>752475</xdr:colOff>
      <xdr:row>51</xdr:row>
      <xdr:rowOff>466725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4A7FC36-9877-40E4-B3D0-FB6F3045F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9712" y="2636184"/>
          <a:ext cx="4476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742950</xdr:colOff>
      <xdr:row>11</xdr:row>
      <xdr:rowOff>28575</xdr:rowOff>
    </xdr:from>
    <xdr:to>
      <xdr:col>11</xdr:col>
      <xdr:colOff>446532</xdr:colOff>
      <xdr:row>12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5899E4-8B04-4B80-9BD3-45658DDA9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1933575"/>
          <a:ext cx="741807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276225</xdr:colOff>
      <xdr:row>13</xdr:row>
      <xdr:rowOff>19050</xdr:rowOff>
    </xdr:from>
    <xdr:to>
      <xdr:col>13</xdr:col>
      <xdr:colOff>200025</xdr:colOff>
      <xdr:row>14</xdr:row>
      <xdr:rowOff>133350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50A1686-FF27-4C34-8C4C-8A9523EDF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2305050"/>
          <a:ext cx="15240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333375</xdr:colOff>
      <xdr:row>15</xdr:row>
      <xdr:rowOff>66675</xdr:rowOff>
    </xdr:from>
    <xdr:to>
      <xdr:col>12</xdr:col>
      <xdr:colOff>542925</xdr:colOff>
      <xdr:row>16</xdr:row>
      <xdr:rowOff>180975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E6535C4-39ED-4451-BD7F-42F7D8CF6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" y="2733675"/>
          <a:ext cx="100965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609600</xdr:colOff>
      <xdr:row>46</xdr:row>
      <xdr:rowOff>180975</xdr:rowOff>
    </xdr:from>
    <xdr:to>
      <xdr:col>10</xdr:col>
      <xdr:colOff>819150</xdr:colOff>
      <xdr:row>49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159641-AEDD-4AD8-A662-DBAB8243C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77475"/>
          <a:ext cx="20955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28014</xdr:colOff>
      <xdr:row>107</xdr:row>
      <xdr:rowOff>107576</xdr:rowOff>
    </xdr:from>
    <xdr:to>
      <xdr:col>15</xdr:col>
      <xdr:colOff>633131</xdr:colOff>
      <xdr:row>121</xdr:row>
      <xdr:rowOff>183776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AE2012-762F-415C-8F07-A2B819E18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4762</xdr:colOff>
      <xdr:row>299</xdr:row>
      <xdr:rowOff>57150</xdr:rowOff>
    </xdr:from>
    <xdr:to>
      <xdr:col>15</xdr:col>
      <xdr:colOff>557212</xdr:colOff>
      <xdr:row>313</xdr:row>
      <xdr:rowOff>133350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1A01CA0-7E61-4B6F-AAFD-D8326373E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0.03966</cdr:x>
      <cdr:y>0.55208</cdr:y>
    </cdr:from>
    <cdr:to>
      <cdr:x>0.43646</cdr:x>
      <cdr:y>0.55556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3E530E7-B808-4BC8-83B3-E01982EEF974}"/>
            </a:ext>
          </a:extLst>
        </cdr:cNvPr>
        <cdr:cNvCxnSpPr/>
      </cdr:nvCxnSpPr>
      <cdr:spPr>
        <a:xfrm xmlns:a="http://schemas.openxmlformats.org/drawingml/2006/main" flipH="1">
          <a:off x="181335" y="1514475"/>
          <a:ext cx="1814153" cy="952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0.43646</cdr:x>
      <cdr:y>0.52778</cdr:y>
    </cdr:from>
    <cdr:to>
      <cdr:x>0.43854</cdr:x>
      <cdr:y>0.89583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4991D3A4-57E2-489A-9BFD-06A582BC1C94}"/>
            </a:ext>
          </a:extLst>
        </cdr:cNvPr>
        <cdr:cNvCxnSpPr/>
      </cdr:nvCxnSpPr>
      <cdr:spPr>
        <a:xfrm xmlns:a="http://schemas.openxmlformats.org/drawingml/2006/main">
          <a:off x="1995488" y="1447800"/>
          <a:ext cx="9525" cy="10096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2846-4320-41F4-B553-845A86DE91D1}">
  <dimension ref="A1"/>
  <sheetViews>
    <sheetView workbookViewId="0">
      <selection activeCell="K29" sqref="A1:K29"/>
    </sheetView>
  </sheetViews>
  <sheetFormatPr defaultRowHeight="15" x14ac:dyDescent="0.25"/>
  <cols>
    <col min="1" max="1" width="8.7109375" customWidth="1"/>
    <col min="2" max="2" width="11.28515625" customWidth="1"/>
    <col min="3" max="3" width="11.42578125" customWidth="1"/>
    <col min="4" max="4" width="11.28515625" customWidth="1"/>
    <col min="11" max="11" width="13.28515625" customWidth="1"/>
  </cols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9418-610B-4438-8F31-62DA5DBBBE22}">
  <dimension ref="A1"/>
  <sheetViews>
    <sheetView zoomScaleNormal="100" workbookViewId="0">
      <selection activeCell="G40" sqref="A1:G40"/>
    </sheetView>
  </sheetViews>
  <sheetFormatPr defaultRowHeight="15" x14ac:dyDescent="0.25"/>
  <cols>
    <col min="4" max="4" width="15.140625" customWidth="1"/>
  </cols>
  <sheetData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71F3-EDAC-4C28-A1D6-182EE705764F}">
  <dimension ref="A1:Q317"/>
  <sheetViews>
    <sheetView tabSelected="1" view="pageLayout" topLeftCell="A289" zoomScaleNormal="85" workbookViewId="0">
      <selection activeCell="O318" sqref="O318"/>
    </sheetView>
  </sheetViews>
  <sheetFormatPr defaultRowHeight="15" x14ac:dyDescent="0.25"/>
  <cols>
    <col min="1" max="1" width="13.5703125" customWidth="1"/>
    <col min="2" max="2" width="13.140625" customWidth="1"/>
    <col min="9" max="9" width="10.5703125" customWidth="1"/>
    <col min="14" max="14" width="10.28515625" customWidth="1"/>
  </cols>
  <sheetData>
    <row r="1" spans="1:14" ht="20.25" thickBot="1" x14ac:dyDescent="0.3">
      <c r="A1" s="31" t="s">
        <v>30</v>
      </c>
    </row>
    <row r="2" spans="1:14" ht="20.25" thickBot="1" x14ac:dyDescent="0.3">
      <c r="A2" s="32" t="s">
        <v>1</v>
      </c>
      <c r="B2" s="33">
        <v>0</v>
      </c>
      <c r="C2" s="33">
        <v>1</v>
      </c>
      <c r="D2" s="33">
        <v>2</v>
      </c>
      <c r="E2" s="33">
        <v>3</v>
      </c>
      <c r="F2" s="33">
        <v>4</v>
      </c>
      <c r="G2" s="33">
        <v>5</v>
      </c>
    </row>
    <row r="3" spans="1:14" ht="20.25" thickBot="1" x14ac:dyDescent="0.3">
      <c r="A3" s="34" t="s">
        <v>22</v>
      </c>
      <c r="B3" s="35">
        <v>3</v>
      </c>
      <c r="C3" s="35">
        <v>7</v>
      </c>
      <c r="D3" s="35">
        <v>10</v>
      </c>
      <c r="E3" s="35">
        <v>15</v>
      </c>
      <c r="F3" s="35">
        <v>8</v>
      </c>
      <c r="G3" s="35">
        <v>2</v>
      </c>
    </row>
    <row r="4" spans="1:14" ht="19.5" customHeight="1" x14ac:dyDescent="0.25">
      <c r="A4" s="31"/>
      <c r="H4" s="5"/>
      <c r="K4" s="42" t="s">
        <v>35</v>
      </c>
    </row>
    <row r="5" spans="1:14" ht="12.75" customHeight="1" x14ac:dyDescent="0.25">
      <c r="A5" s="31"/>
      <c r="K5" s="42" t="s">
        <v>36</v>
      </c>
    </row>
    <row r="6" spans="1:14" ht="19.5" x14ac:dyDescent="0.25">
      <c r="A6" s="31" t="s">
        <v>4</v>
      </c>
      <c r="K6" s="57" t="s">
        <v>37</v>
      </c>
      <c r="L6" s="57"/>
      <c r="M6" s="57"/>
      <c r="N6" s="57"/>
    </row>
    <row r="7" spans="1:14" ht="28.5" customHeight="1" x14ac:dyDescent="0.25">
      <c r="A7" s="41">
        <v>1</v>
      </c>
      <c r="B7" s="56"/>
      <c r="C7" s="56"/>
      <c r="K7" s="57" t="s">
        <v>38</v>
      </c>
      <c r="L7" s="57"/>
      <c r="M7" s="57"/>
      <c r="N7" s="57"/>
    </row>
    <row r="8" spans="1:14" ht="21" x14ac:dyDescent="0.25">
      <c r="A8" s="36"/>
      <c r="K8" s="57" t="s">
        <v>39</v>
      </c>
      <c r="L8" s="57"/>
      <c r="M8" s="57"/>
      <c r="N8" s="57"/>
    </row>
    <row r="9" spans="1:14" ht="27" customHeight="1" x14ac:dyDescent="0.25">
      <c r="A9" s="36" t="s">
        <v>31</v>
      </c>
      <c r="K9" s="57" t="s">
        <v>46</v>
      </c>
      <c r="L9" s="57"/>
      <c r="M9" s="57"/>
      <c r="N9" s="57"/>
    </row>
    <row r="10" spans="1:14" x14ac:dyDescent="0.25">
      <c r="A10" s="37"/>
    </row>
    <row r="11" spans="1:14" ht="37.5" customHeight="1" x14ac:dyDescent="0.25">
      <c r="A11" s="38" t="s">
        <v>32</v>
      </c>
      <c r="K11" s="54" t="s">
        <v>42</v>
      </c>
      <c r="L11" s="53"/>
      <c r="M11" s="53"/>
    </row>
    <row r="12" spans="1:14" ht="23.25" x14ac:dyDescent="0.25">
      <c r="A12" s="39" t="s">
        <v>33</v>
      </c>
      <c r="K12" s="57" t="s">
        <v>48</v>
      </c>
      <c r="L12" s="57"/>
      <c r="M12" s="57"/>
      <c r="N12" s="57"/>
    </row>
    <row r="13" spans="1:14" ht="21.75" x14ac:dyDescent="0.25">
      <c r="A13" s="40"/>
      <c r="K13" s="57"/>
      <c r="L13" s="57"/>
      <c r="M13" s="57"/>
      <c r="N13" s="57"/>
    </row>
    <row r="14" spans="1:14" ht="21.75" x14ac:dyDescent="0.25">
      <c r="A14" s="40"/>
      <c r="K14" s="57" t="s">
        <v>47</v>
      </c>
      <c r="L14" s="58"/>
      <c r="M14" s="58"/>
      <c r="N14" s="58"/>
    </row>
    <row r="15" spans="1:14" x14ac:dyDescent="0.25">
      <c r="C15" s="12"/>
      <c r="D15" s="12"/>
      <c r="E15" s="12"/>
      <c r="F15" s="12"/>
      <c r="K15" s="57"/>
      <c r="L15" s="58"/>
      <c r="M15" s="58"/>
      <c r="N15" s="58"/>
    </row>
    <row r="16" spans="1:14" x14ac:dyDescent="0.25">
      <c r="B16" s="3"/>
      <c r="C16" s="3"/>
      <c r="D16" s="3"/>
      <c r="E16" s="3"/>
      <c r="F16" s="3"/>
      <c r="K16" s="53"/>
      <c r="L16" s="57"/>
      <c r="M16" s="57"/>
      <c r="N16" s="57"/>
    </row>
    <row r="17" spans="1:14" ht="19.5" x14ac:dyDescent="0.25">
      <c r="A17" s="4" t="s">
        <v>17</v>
      </c>
      <c r="B17" s="3"/>
      <c r="C17" s="5"/>
      <c r="D17" s="5"/>
      <c r="E17" s="5"/>
      <c r="F17" s="5"/>
      <c r="K17" s="53"/>
      <c r="L17" s="57"/>
      <c r="M17" s="57"/>
      <c r="N17" s="57"/>
    </row>
    <row r="18" spans="1:14" ht="15.75" thickBot="1" x14ac:dyDescent="0.3">
      <c r="B18" s="1"/>
    </row>
    <row r="19" spans="1:14" ht="20.25" thickBot="1" x14ac:dyDescent="0.3">
      <c r="B19" s="9" t="s">
        <v>1</v>
      </c>
      <c r="C19" s="21" t="s">
        <v>22</v>
      </c>
      <c r="D19" s="22" t="s">
        <v>23</v>
      </c>
      <c r="E19" s="22" t="s">
        <v>28</v>
      </c>
      <c r="F19" s="23" t="s">
        <v>29</v>
      </c>
      <c r="K19" t="s">
        <v>24</v>
      </c>
      <c r="L19">
        <v>75</v>
      </c>
    </row>
    <row r="20" spans="1:14" ht="19.5" x14ac:dyDescent="0.25">
      <c r="B20" s="8">
        <v>0</v>
      </c>
      <c r="C20" s="17">
        <v>10</v>
      </c>
      <c r="D20" s="18">
        <f t="shared" ref="D20:D25" si="0">B20*C20</f>
        <v>0</v>
      </c>
      <c r="E20" s="19">
        <f t="shared" ref="E20:E25" si="1">_xlfn.BINOM.DIST(B20,5,0.43,0)</f>
        <v>6.016920570000004E-2</v>
      </c>
      <c r="F20" s="20">
        <f t="shared" ref="F20:F25" si="2">67*E20</f>
        <v>4.031336781900003</v>
      </c>
      <c r="K20" t="s">
        <v>40</v>
      </c>
      <c r="L20">
        <v>4</v>
      </c>
    </row>
    <row r="21" spans="1:14" ht="19.5" x14ac:dyDescent="0.25">
      <c r="B21" s="6">
        <v>1</v>
      </c>
      <c r="C21" s="13">
        <v>12</v>
      </c>
      <c r="D21" s="7">
        <f t="shared" si="0"/>
        <v>12</v>
      </c>
      <c r="E21" s="14">
        <f t="shared" si="1"/>
        <v>0.22695402150000005</v>
      </c>
      <c r="F21" s="16">
        <f t="shared" si="2"/>
        <v>15.205919440500002</v>
      </c>
      <c r="K21" t="s">
        <v>41</v>
      </c>
      <c r="L21">
        <f>NORMDIST(60,75,4,1)</f>
        <v>8.841728520080376E-5</v>
      </c>
    </row>
    <row r="22" spans="1:14" ht="19.5" x14ac:dyDescent="0.25">
      <c r="B22" s="6">
        <v>2</v>
      </c>
      <c r="C22" s="13">
        <v>15</v>
      </c>
      <c r="D22" s="7">
        <f t="shared" si="0"/>
        <v>30</v>
      </c>
      <c r="E22" s="14">
        <f t="shared" si="1"/>
        <v>0.34242185699999994</v>
      </c>
      <c r="F22" s="16">
        <f t="shared" si="2"/>
        <v>22.942264418999997</v>
      </c>
      <c r="G22" s="12"/>
      <c r="H22" s="12"/>
      <c r="K22" t="s">
        <v>43</v>
      </c>
      <c r="L22">
        <f>1-NORMDIST(65,75,4,1)</f>
        <v>0.99379033467422384</v>
      </c>
    </row>
    <row r="23" spans="1:14" ht="19.5" x14ac:dyDescent="0.25">
      <c r="B23" s="6">
        <v>3</v>
      </c>
      <c r="C23" s="13">
        <v>20</v>
      </c>
      <c r="D23" s="7">
        <f t="shared" si="0"/>
        <v>60</v>
      </c>
      <c r="E23" s="14">
        <f t="shared" si="1"/>
        <v>0.25831824299999989</v>
      </c>
      <c r="F23" s="16">
        <f t="shared" si="2"/>
        <v>17.307322280999994</v>
      </c>
      <c r="G23" s="12"/>
      <c r="H23" s="12"/>
      <c r="K23" t="s">
        <v>44</v>
      </c>
      <c r="L23">
        <f>NORMDIST(90,75,4,1)-NORMDIST(80,75,4,1)</f>
        <v>0.10556135638165443</v>
      </c>
    </row>
    <row r="24" spans="1:14" ht="19.5" x14ac:dyDescent="0.25">
      <c r="A24" s="3"/>
      <c r="B24" s="6">
        <v>4</v>
      </c>
      <c r="C24" s="13">
        <v>8</v>
      </c>
      <c r="D24" s="7">
        <f t="shared" si="0"/>
        <v>32</v>
      </c>
      <c r="E24" s="14">
        <f t="shared" si="1"/>
        <v>9.7435828500000002E-2</v>
      </c>
      <c r="F24" s="16">
        <f t="shared" si="2"/>
        <v>6.5282005095000004</v>
      </c>
      <c r="G24" s="3"/>
      <c r="H24" s="3"/>
      <c r="K24" t="s">
        <v>45</v>
      </c>
      <c r="L24">
        <f>NORMDIST(84,75,4,1)-NORMDIST(60,75,4,1)</f>
        <v>0.98768711005975451</v>
      </c>
    </row>
    <row r="25" spans="1:14" ht="20.25" thickBot="1" x14ac:dyDescent="0.3">
      <c r="B25" s="24">
        <v>5</v>
      </c>
      <c r="C25" s="25">
        <v>2</v>
      </c>
      <c r="D25" s="26">
        <f t="shared" si="0"/>
        <v>10</v>
      </c>
      <c r="E25" s="27">
        <f t="shared" si="1"/>
        <v>1.4700844299999998E-2</v>
      </c>
      <c r="F25" s="28">
        <f t="shared" si="2"/>
        <v>0.98495656809999987</v>
      </c>
      <c r="G25" s="5"/>
      <c r="H25" s="5"/>
    </row>
    <row r="26" spans="1:14" ht="15.75" thickBot="1" x14ac:dyDescent="0.3">
      <c r="B26" s="10"/>
      <c r="C26" s="22">
        <f>SUM(C20:C25)</f>
        <v>67</v>
      </c>
      <c r="D26" s="22">
        <f>SUM(D20:D25)</f>
        <v>144</v>
      </c>
      <c r="E26" s="29">
        <f>SUM(E20:E25)</f>
        <v>1</v>
      </c>
      <c r="F26" s="30">
        <f>SUM(F20:F25)</f>
        <v>67</v>
      </c>
    </row>
    <row r="29" spans="1:14" x14ac:dyDescent="0.25">
      <c r="B29" t="s">
        <v>24</v>
      </c>
      <c r="C29" s="11">
        <f>D26/C26</f>
        <v>2.1492537313432836</v>
      </c>
      <c r="D29" t="s">
        <v>27</v>
      </c>
      <c r="E29">
        <v>2.15</v>
      </c>
    </row>
    <row r="30" spans="1:14" x14ac:dyDescent="0.25">
      <c r="B30" t="s">
        <v>25</v>
      </c>
      <c r="C30" s="11">
        <f>C29/5</f>
        <v>0.42985074626865671</v>
      </c>
    </row>
    <row r="31" spans="1:14" x14ac:dyDescent="0.25">
      <c r="B31" t="s">
        <v>26</v>
      </c>
      <c r="C31" s="11">
        <f>1-C30</f>
        <v>0.57014925373134329</v>
      </c>
    </row>
    <row r="34" spans="1:12" x14ac:dyDescent="0.25">
      <c r="B34" s="55" t="s">
        <v>9</v>
      </c>
      <c r="C34" s="55"/>
      <c r="F34" s="11"/>
    </row>
    <row r="35" spans="1:12" x14ac:dyDescent="0.25">
      <c r="B35" s="7" t="s">
        <v>1</v>
      </c>
      <c r="C35" s="15">
        <v>0</v>
      </c>
      <c r="D35" s="15">
        <v>1</v>
      </c>
      <c r="E35" s="15">
        <v>2</v>
      </c>
      <c r="F35" s="15">
        <v>3</v>
      </c>
      <c r="G35" s="15">
        <v>4</v>
      </c>
      <c r="H35" s="15">
        <v>5</v>
      </c>
    </row>
    <row r="36" spans="1:12" x14ac:dyDescent="0.25">
      <c r="B36" s="7" t="s">
        <v>29</v>
      </c>
      <c r="C36" s="15">
        <v>4.031336781900003</v>
      </c>
      <c r="D36" s="15">
        <v>15.205919440500002</v>
      </c>
      <c r="E36" s="15">
        <v>22.942264418999997</v>
      </c>
      <c r="F36" s="15">
        <v>17.307322280999994</v>
      </c>
      <c r="G36" s="15">
        <v>6.5282005095000004</v>
      </c>
      <c r="H36" s="15">
        <v>0.98495656809999987</v>
      </c>
    </row>
    <row r="42" spans="1:12" ht="20.25" thickBot="1" x14ac:dyDescent="0.3">
      <c r="A42" s="31" t="s">
        <v>34</v>
      </c>
    </row>
    <row r="43" spans="1:12" ht="20.25" thickBot="1" x14ac:dyDescent="0.3">
      <c r="A43" s="32" t="s">
        <v>1</v>
      </c>
      <c r="B43" s="33">
        <v>0</v>
      </c>
      <c r="C43" s="33">
        <v>1</v>
      </c>
      <c r="D43" s="33">
        <v>2</v>
      </c>
      <c r="E43" s="33">
        <v>3</v>
      </c>
      <c r="F43" s="33">
        <v>4</v>
      </c>
      <c r="G43" s="33">
        <v>5</v>
      </c>
    </row>
    <row r="44" spans="1:12" ht="20.25" thickBot="1" x14ac:dyDescent="0.3">
      <c r="A44" s="34" t="s">
        <v>22</v>
      </c>
      <c r="B44" s="35">
        <v>3</v>
      </c>
      <c r="C44" s="35">
        <v>7</v>
      </c>
      <c r="D44" s="35">
        <v>10</v>
      </c>
      <c r="E44" s="35">
        <v>15</v>
      </c>
      <c r="F44" s="35">
        <v>8</v>
      </c>
      <c r="G44" s="35">
        <v>2</v>
      </c>
    </row>
    <row r="45" spans="1:12" ht="19.5" x14ac:dyDescent="0.25">
      <c r="A45" s="31"/>
      <c r="H45" s="5"/>
      <c r="K45" s="42" t="s">
        <v>59</v>
      </c>
    </row>
    <row r="46" spans="1:12" ht="19.5" x14ac:dyDescent="0.25">
      <c r="A46" s="31"/>
      <c r="J46" s="42" t="s">
        <v>60</v>
      </c>
    </row>
    <row r="47" spans="1:12" ht="19.5" x14ac:dyDescent="0.25">
      <c r="A47" s="31" t="s">
        <v>4</v>
      </c>
      <c r="K47" s="43" t="s">
        <v>4</v>
      </c>
    </row>
    <row r="48" spans="1:12" ht="21" x14ac:dyDescent="0.25">
      <c r="A48" s="41">
        <v>1</v>
      </c>
      <c r="B48" s="56"/>
      <c r="C48" s="56"/>
      <c r="K48" s="59">
        <v>1</v>
      </c>
      <c r="L48" s="59"/>
    </row>
    <row r="49" spans="1:16" ht="21" x14ac:dyDescent="0.25">
      <c r="A49" s="36"/>
      <c r="K49" s="59"/>
      <c r="L49" s="59"/>
    </row>
    <row r="50" spans="1:16" ht="21" x14ac:dyDescent="0.25">
      <c r="A50" s="36" t="s">
        <v>31</v>
      </c>
      <c r="K50" s="43"/>
    </row>
    <row r="51" spans="1:16" x14ac:dyDescent="0.25">
      <c r="A51" s="37"/>
      <c r="K51" s="1" t="s">
        <v>17</v>
      </c>
    </row>
    <row r="52" spans="1:16" ht="19.5" x14ac:dyDescent="0.25">
      <c r="A52" s="38" t="s">
        <v>32</v>
      </c>
      <c r="K52" t="s">
        <v>49</v>
      </c>
      <c r="L52">
        <v>0.5</v>
      </c>
    </row>
    <row r="53" spans="1:16" ht="23.25" x14ac:dyDescent="0.25">
      <c r="A53" s="39" t="s">
        <v>33</v>
      </c>
      <c r="K53" t="s">
        <v>50</v>
      </c>
      <c r="L53">
        <f>1-L52</f>
        <v>0.5</v>
      </c>
    </row>
    <row r="54" spans="1:16" ht="21.75" x14ac:dyDescent="0.25">
      <c r="A54" s="40"/>
      <c r="K54" t="s">
        <v>51</v>
      </c>
      <c r="L54">
        <f>90</f>
        <v>90</v>
      </c>
      <c r="P54" t="s">
        <v>1</v>
      </c>
    </row>
    <row r="55" spans="1:16" ht="21.75" x14ac:dyDescent="0.25">
      <c r="A55" s="40"/>
      <c r="K55" t="s">
        <v>25</v>
      </c>
      <c r="L55">
        <f>40/90</f>
        <v>0.44444444444444442</v>
      </c>
    </row>
    <row r="56" spans="1:16" x14ac:dyDescent="0.25">
      <c r="C56" s="12"/>
      <c r="D56" s="12"/>
      <c r="E56" s="12"/>
      <c r="F56" s="12"/>
      <c r="K56" t="s">
        <v>52</v>
      </c>
      <c r="L56">
        <f>L55-L52</f>
        <v>-5.555555555555558E-2</v>
      </c>
    </row>
    <row r="57" spans="1:16" x14ac:dyDescent="0.25">
      <c r="B57" s="3"/>
      <c r="C57" s="3"/>
      <c r="D57" s="3"/>
      <c r="E57" s="3"/>
      <c r="F57" s="3"/>
      <c r="K57" t="s">
        <v>53</v>
      </c>
      <c r="L57">
        <f>SQRT(L52*L53/L54)</f>
        <v>5.2704627669472988E-2</v>
      </c>
    </row>
    <row r="58" spans="1:16" ht="19.5" x14ac:dyDescent="0.25">
      <c r="A58" s="4" t="s">
        <v>17</v>
      </c>
      <c r="B58" s="3"/>
      <c r="C58" s="5"/>
      <c r="D58" s="5"/>
      <c r="E58" s="5"/>
      <c r="F58" s="5"/>
      <c r="K58" t="s">
        <v>54</v>
      </c>
      <c r="L58">
        <f>ABS(L56/L57)</f>
        <v>1.0540925533894603</v>
      </c>
    </row>
    <row r="59" spans="1:16" ht="15.75" thickBot="1" x14ac:dyDescent="0.3">
      <c r="B59" s="1"/>
    </row>
    <row r="60" spans="1:16" ht="20.25" thickBot="1" x14ac:dyDescent="0.3">
      <c r="B60" s="9" t="s">
        <v>1</v>
      </c>
      <c r="C60" s="21" t="s">
        <v>22</v>
      </c>
      <c r="D60" s="22" t="s">
        <v>23</v>
      </c>
      <c r="E60" s="22" t="s">
        <v>28</v>
      </c>
      <c r="F60" s="23" t="s">
        <v>29</v>
      </c>
    </row>
    <row r="61" spans="1:16" ht="19.5" x14ac:dyDescent="0.25">
      <c r="B61" s="8">
        <v>0</v>
      </c>
      <c r="C61" s="17">
        <v>10</v>
      </c>
      <c r="D61" s="18">
        <f t="shared" ref="D61:D66" si="3">B61*C61</f>
        <v>0</v>
      </c>
      <c r="E61" s="19">
        <f>_xlfn.POISSON.DIST(B61,2.15,0)</f>
        <v>0.11648415777349697</v>
      </c>
      <c r="F61" s="20">
        <f>67*E61</f>
        <v>7.8044385708242965</v>
      </c>
      <c r="K61" s="1" t="s">
        <v>55</v>
      </c>
    </row>
    <row r="62" spans="1:16" ht="19.5" x14ac:dyDescent="0.25">
      <c r="B62" s="6">
        <v>1</v>
      </c>
      <c r="C62" s="13">
        <v>12</v>
      </c>
      <c r="D62" s="7">
        <f t="shared" si="3"/>
        <v>12</v>
      </c>
      <c r="E62" s="19">
        <f t="shared" ref="E62:E66" si="4">_xlfn.POISSON.DIST(B62,2.15,0)</f>
        <v>0.25044093921301847</v>
      </c>
      <c r="F62" s="16">
        <f t="shared" ref="F62:F66" si="5">67*E62</f>
        <v>16.779542927272239</v>
      </c>
      <c r="K62" t="s">
        <v>56</v>
      </c>
      <c r="L62">
        <v>0.05</v>
      </c>
    </row>
    <row r="63" spans="1:16" ht="19.5" x14ac:dyDescent="0.25">
      <c r="B63" s="6">
        <v>2</v>
      </c>
      <c r="C63" s="13">
        <v>15</v>
      </c>
      <c r="D63" s="7">
        <f t="shared" si="3"/>
        <v>30</v>
      </c>
      <c r="E63" s="19">
        <f t="shared" si="4"/>
        <v>0.2692240096539949</v>
      </c>
      <c r="F63" s="16">
        <f t="shared" si="5"/>
        <v>18.038008646817659</v>
      </c>
      <c r="G63" s="12"/>
      <c r="H63" s="12"/>
      <c r="K63" t="s">
        <v>57</v>
      </c>
      <c r="L63">
        <v>2</v>
      </c>
    </row>
    <row r="64" spans="1:16" ht="19.5" x14ac:dyDescent="0.25">
      <c r="B64" s="6">
        <v>3</v>
      </c>
      <c r="C64" s="13">
        <v>20</v>
      </c>
      <c r="D64" s="7">
        <f t="shared" si="3"/>
        <v>60</v>
      </c>
      <c r="E64" s="19">
        <f t="shared" si="4"/>
        <v>0.19294387358536297</v>
      </c>
      <c r="F64" s="16">
        <f t="shared" si="5"/>
        <v>12.927239530219319</v>
      </c>
      <c r="G64" s="12"/>
      <c r="H64" s="12"/>
      <c r="K64" t="s">
        <v>58</v>
      </c>
      <c r="L64">
        <f>NORMSINV(0.975)</f>
        <v>1.9599639845400536</v>
      </c>
    </row>
    <row r="65" spans="1:11" ht="19.5" x14ac:dyDescent="0.25">
      <c r="A65" s="3"/>
      <c r="B65" s="6">
        <v>4</v>
      </c>
      <c r="C65" s="13">
        <v>8</v>
      </c>
      <c r="D65" s="7">
        <f t="shared" si="3"/>
        <v>32</v>
      </c>
      <c r="E65" s="19">
        <f t="shared" si="4"/>
        <v>0.10370733205213264</v>
      </c>
      <c r="F65" s="16">
        <f t="shared" si="5"/>
        <v>6.9483912474928875</v>
      </c>
      <c r="G65" s="3"/>
      <c r="H65" s="3"/>
    </row>
    <row r="66" spans="1:11" ht="20.25" thickBot="1" x14ac:dyDescent="0.3">
      <c r="B66" s="24">
        <v>5</v>
      </c>
      <c r="C66" s="25">
        <v>2</v>
      </c>
      <c r="D66" s="26">
        <f t="shared" si="3"/>
        <v>10</v>
      </c>
      <c r="E66" s="19">
        <f t="shared" si="4"/>
        <v>4.4594152782417018E-2</v>
      </c>
      <c r="F66" s="28">
        <f t="shared" si="5"/>
        <v>2.98780823642194</v>
      </c>
      <c r="G66" s="5"/>
      <c r="H66" s="5"/>
      <c r="K66" s="1" t="s">
        <v>9</v>
      </c>
    </row>
    <row r="67" spans="1:11" ht="15.75" thickBot="1" x14ac:dyDescent="0.3">
      <c r="B67" s="10"/>
      <c r="C67" s="22">
        <f>SUM(C61:C66)</f>
        <v>67</v>
      </c>
      <c r="D67" s="22">
        <f>SUM(D61:D66)</f>
        <v>144</v>
      </c>
      <c r="E67" s="29">
        <f>SUM(E61:E66)</f>
        <v>0.97739446506042293</v>
      </c>
      <c r="F67" s="30">
        <f>SUM(F61:F66)</f>
        <v>65.485429159048337</v>
      </c>
      <c r="K67" t="str">
        <f>IF(L57&lt;=L58,"Null Hypothesis is accepted","Null Hypothesis is rejected")</f>
        <v>Null Hypothesis is accepted</v>
      </c>
    </row>
    <row r="70" spans="1:11" x14ac:dyDescent="0.25">
      <c r="B70" t="s">
        <v>24</v>
      </c>
      <c r="C70" s="11">
        <f>D67/C67</f>
        <v>2.1492537313432836</v>
      </c>
      <c r="D70" t="s">
        <v>27</v>
      </c>
      <c r="E70">
        <v>2.15</v>
      </c>
    </row>
    <row r="71" spans="1:11" x14ac:dyDescent="0.25">
      <c r="C71" s="11"/>
    </row>
    <row r="72" spans="1:11" x14ac:dyDescent="0.25">
      <c r="C72" s="11"/>
    </row>
    <row r="75" spans="1:11" x14ac:dyDescent="0.25">
      <c r="B75" s="55" t="s">
        <v>9</v>
      </c>
      <c r="C75" s="55"/>
      <c r="F75" s="11"/>
    </row>
    <row r="76" spans="1:11" x14ac:dyDescent="0.25">
      <c r="B76" s="7" t="s">
        <v>1</v>
      </c>
      <c r="C76" s="15">
        <v>0</v>
      </c>
      <c r="D76" s="15">
        <v>1</v>
      </c>
      <c r="E76" s="15">
        <v>2</v>
      </c>
      <c r="F76" s="15">
        <v>3</v>
      </c>
      <c r="G76" s="15">
        <v>4</v>
      </c>
      <c r="H76" s="15">
        <v>5</v>
      </c>
    </row>
    <row r="77" spans="1:11" x14ac:dyDescent="0.25">
      <c r="B77" s="7" t="s">
        <v>29</v>
      </c>
      <c r="C77" s="15" t="s">
        <v>29</v>
      </c>
      <c r="D77" s="15">
        <v>7.8044385708242965</v>
      </c>
      <c r="E77" s="15">
        <v>16.779542927272239</v>
      </c>
      <c r="F77" s="15">
        <v>18.038008646817659</v>
      </c>
      <c r="G77" s="15">
        <v>12.927239530219319</v>
      </c>
      <c r="H77" s="15">
        <v>6.9483912474928875</v>
      </c>
    </row>
    <row r="88" spans="2:16" x14ac:dyDescent="0.25">
      <c r="K88" s="53" t="s">
        <v>11</v>
      </c>
      <c r="L88" s="53"/>
      <c r="M88" s="53"/>
      <c r="N88" s="53"/>
      <c r="O88" s="53"/>
    </row>
    <row r="89" spans="2:16" x14ac:dyDescent="0.25">
      <c r="K89" s="53"/>
      <c r="L89" s="53"/>
      <c r="M89" s="53"/>
      <c r="N89" s="53"/>
      <c r="O89" s="53"/>
    </row>
    <row r="90" spans="2:16" x14ac:dyDescent="0.25">
      <c r="K90" t="s">
        <v>1</v>
      </c>
      <c r="L90">
        <v>2</v>
      </c>
      <c r="M90">
        <v>7</v>
      </c>
      <c r="N90">
        <v>6</v>
      </c>
      <c r="O90">
        <v>9</v>
      </c>
      <c r="P90">
        <v>4</v>
      </c>
    </row>
    <row r="91" spans="2:16" x14ac:dyDescent="0.25">
      <c r="B91" s="44" t="s">
        <v>1</v>
      </c>
      <c r="K91" t="s">
        <v>2</v>
      </c>
      <c r="L91">
        <v>2</v>
      </c>
      <c r="M91">
        <v>9</v>
      </c>
      <c r="N91">
        <v>8</v>
      </c>
      <c r="O91">
        <v>6</v>
      </c>
      <c r="P91">
        <v>5</v>
      </c>
    </row>
    <row r="92" spans="2:16" x14ac:dyDescent="0.25">
      <c r="B92">
        <v>2</v>
      </c>
    </row>
    <row r="93" spans="2:16" x14ac:dyDescent="0.25">
      <c r="B93">
        <v>7</v>
      </c>
      <c r="K93" s="53" t="s">
        <v>12</v>
      </c>
      <c r="L93" s="53"/>
      <c r="M93" s="53"/>
      <c r="N93" s="53"/>
      <c r="O93" s="53"/>
      <c r="P93" s="53"/>
    </row>
    <row r="94" spans="2:16" x14ac:dyDescent="0.25">
      <c r="B94">
        <v>6</v>
      </c>
    </row>
    <row r="95" spans="2:16" x14ac:dyDescent="0.25">
      <c r="B95">
        <v>8</v>
      </c>
    </row>
    <row r="96" spans="2:16" x14ac:dyDescent="0.25">
      <c r="B96">
        <v>5</v>
      </c>
      <c r="J96" s="54" t="s">
        <v>13</v>
      </c>
      <c r="K96" s="53"/>
      <c r="N96" s="54" t="s">
        <v>17</v>
      </c>
      <c r="O96" s="54"/>
    </row>
    <row r="97" spans="2:15" x14ac:dyDescent="0.25">
      <c r="B97">
        <v>4</v>
      </c>
      <c r="J97" s="53" t="s">
        <v>14</v>
      </c>
      <c r="K97" s="53"/>
      <c r="L97" s="53"/>
      <c r="M97" s="53"/>
      <c r="N97" t="s">
        <v>1</v>
      </c>
      <c r="O97" t="s">
        <v>2</v>
      </c>
    </row>
    <row r="98" spans="2:15" x14ac:dyDescent="0.25">
      <c r="B98">
        <v>10</v>
      </c>
      <c r="J98" s="53" t="s">
        <v>15</v>
      </c>
      <c r="K98" s="53"/>
      <c r="L98" s="53"/>
      <c r="M98" s="53"/>
      <c r="N98">
        <v>2</v>
      </c>
      <c r="O98">
        <v>2</v>
      </c>
    </row>
    <row r="99" spans="2:15" x14ac:dyDescent="0.25">
      <c r="B99">
        <v>6</v>
      </c>
      <c r="J99" s="53" t="s">
        <v>16</v>
      </c>
      <c r="K99" s="53"/>
      <c r="L99" s="53"/>
      <c r="M99" s="53"/>
      <c r="N99">
        <v>7</v>
      </c>
      <c r="O99">
        <v>9</v>
      </c>
    </row>
    <row r="100" spans="2:15" x14ac:dyDescent="0.25">
      <c r="B100">
        <v>2</v>
      </c>
      <c r="N100">
        <v>6</v>
      </c>
      <c r="O100">
        <v>8</v>
      </c>
    </row>
    <row r="101" spans="2:15" x14ac:dyDescent="0.25">
      <c r="N101">
        <v>3</v>
      </c>
      <c r="O101">
        <v>6</v>
      </c>
    </row>
    <row r="102" spans="2:15" x14ac:dyDescent="0.25">
      <c r="N102">
        <v>4</v>
      </c>
      <c r="O102">
        <v>5</v>
      </c>
    </row>
    <row r="104" spans="2:15" x14ac:dyDescent="0.25">
      <c r="N104" s="53" t="s">
        <v>18</v>
      </c>
      <c r="O104" s="53"/>
    </row>
    <row r="105" spans="2:15" x14ac:dyDescent="0.25">
      <c r="N105" s="53"/>
      <c r="O105" s="53"/>
    </row>
    <row r="106" spans="2:15" x14ac:dyDescent="0.25">
      <c r="N106" t="s">
        <v>19</v>
      </c>
      <c r="O106">
        <f>(1.22*10)+0.62</f>
        <v>12.819999999999999</v>
      </c>
    </row>
    <row r="108" spans="2:15" x14ac:dyDescent="0.25">
      <c r="B108" t="s">
        <v>61</v>
      </c>
      <c r="C108">
        <f>SUM(B92:B100)</f>
        <v>50</v>
      </c>
    </row>
    <row r="109" spans="2:15" x14ac:dyDescent="0.25">
      <c r="B109" t="s">
        <v>24</v>
      </c>
      <c r="C109">
        <f>AVERAGE(B92:B100)</f>
        <v>5.5555555555555554</v>
      </c>
    </row>
    <row r="110" spans="2:15" x14ac:dyDescent="0.25">
      <c r="B110" t="s">
        <v>62</v>
      </c>
      <c r="C110">
        <f>MEDIAN(B92:B100)</f>
        <v>6</v>
      </c>
    </row>
    <row r="111" spans="2:15" x14ac:dyDescent="0.25">
      <c r="B111" t="s">
        <v>63</v>
      </c>
      <c r="C111">
        <f>_xlfn.MODE.SNGL(B92:B100)</f>
        <v>2</v>
      </c>
    </row>
    <row r="122" spans="11:13" x14ac:dyDescent="0.25">
      <c r="K122" s="54" t="s">
        <v>9</v>
      </c>
      <c r="L122" s="53"/>
    </row>
    <row r="123" spans="11:13" x14ac:dyDescent="0.25">
      <c r="K123" s="53" t="s">
        <v>20</v>
      </c>
      <c r="L123" s="53"/>
      <c r="M123" t="s">
        <v>21</v>
      </c>
    </row>
    <row r="135" spans="1:16" ht="15.75" thickBot="1" x14ac:dyDescent="0.3">
      <c r="A135" s="53" t="s">
        <v>0</v>
      </c>
      <c r="B135" s="53"/>
      <c r="C135" s="53"/>
      <c r="D135" s="53"/>
      <c r="E135" s="53"/>
      <c r="F135" s="53"/>
      <c r="G135" s="53"/>
      <c r="H135" s="53"/>
      <c r="J135" t="s">
        <v>64</v>
      </c>
    </row>
    <row r="136" spans="1:16" ht="15.75" thickBot="1" x14ac:dyDescent="0.3">
      <c r="A136" s="3"/>
      <c r="B136" s="3"/>
      <c r="C136" s="3"/>
      <c r="D136" s="3"/>
      <c r="E136" s="3"/>
      <c r="F136" s="3"/>
      <c r="G136" s="3"/>
      <c r="H136" s="3"/>
      <c r="J136" s="45" t="s">
        <v>65</v>
      </c>
      <c r="K136" s="46" t="s">
        <v>66</v>
      </c>
      <c r="L136" s="47" t="s">
        <v>71</v>
      </c>
      <c r="M136" s="46" t="s">
        <v>67</v>
      </c>
      <c r="N136" s="46" t="s">
        <v>68</v>
      </c>
      <c r="O136" s="46" t="s">
        <v>69</v>
      </c>
    </row>
    <row r="137" spans="1:16" ht="15.75" thickBot="1" x14ac:dyDescent="0.3">
      <c r="A137" t="s">
        <v>1</v>
      </c>
      <c r="B137">
        <v>2</v>
      </c>
      <c r="C137">
        <v>7</v>
      </c>
      <c r="D137">
        <v>6</v>
      </c>
      <c r="E137">
        <v>9</v>
      </c>
      <c r="F137">
        <v>4</v>
      </c>
      <c r="J137" s="48" t="s">
        <v>70</v>
      </c>
      <c r="K137" s="49">
        <v>2</v>
      </c>
      <c r="L137" s="49">
        <v>10</v>
      </c>
      <c r="M137" s="49">
        <v>16</v>
      </c>
      <c r="N137" s="49">
        <v>10</v>
      </c>
      <c r="O137" s="49">
        <v>4</v>
      </c>
    </row>
    <row r="138" spans="1:16" x14ac:dyDescent="0.25">
      <c r="A138" t="s">
        <v>2</v>
      </c>
      <c r="B138">
        <v>2</v>
      </c>
      <c r="C138">
        <v>9</v>
      </c>
      <c r="D138">
        <v>8</v>
      </c>
      <c r="E138">
        <v>6</v>
      </c>
      <c r="F138">
        <v>5</v>
      </c>
      <c r="I138" s="4"/>
      <c r="J138" s="3"/>
    </row>
    <row r="140" spans="1:16" x14ac:dyDescent="0.25">
      <c r="A140" s="3" t="s">
        <v>3</v>
      </c>
      <c r="B140" s="3"/>
      <c r="C140" s="3"/>
      <c r="D140" s="3"/>
      <c r="E140" s="3"/>
      <c r="F140" s="3"/>
    </row>
    <row r="141" spans="1:16" x14ac:dyDescent="0.25">
      <c r="I141" t="s">
        <v>65</v>
      </c>
      <c r="J141" t="s">
        <v>70</v>
      </c>
      <c r="K141" t="s">
        <v>1</v>
      </c>
      <c r="L141" t="s">
        <v>23</v>
      </c>
      <c r="M141" t="s">
        <v>73</v>
      </c>
      <c r="N141" t="s">
        <v>72</v>
      </c>
      <c r="O141" t="s">
        <v>74</v>
      </c>
      <c r="P141" t="s">
        <v>75</v>
      </c>
    </row>
    <row r="142" spans="1:16" x14ac:dyDescent="0.25">
      <c r="A142" s="4" t="s">
        <v>4</v>
      </c>
      <c r="B142" s="3"/>
      <c r="F142" s="4" t="s">
        <v>6</v>
      </c>
      <c r="G142" s="3"/>
      <c r="I142" t="s">
        <v>66</v>
      </c>
      <c r="J142">
        <v>2</v>
      </c>
      <c r="K142">
        <f>M142+N142/2</f>
        <v>5</v>
      </c>
      <c r="L142">
        <f>J142*K142</f>
        <v>10</v>
      </c>
      <c r="M142">
        <v>0</v>
      </c>
      <c r="N142">
        <v>10</v>
      </c>
      <c r="O142">
        <f>N142-M142</f>
        <v>10</v>
      </c>
      <c r="P142">
        <v>2</v>
      </c>
    </row>
    <row r="143" spans="1:16" x14ac:dyDescent="0.25">
      <c r="A143" s="3" t="s">
        <v>5</v>
      </c>
      <c r="B143" s="3"/>
      <c r="C143" s="3"/>
      <c r="D143" s="3"/>
      <c r="F143" t="s">
        <v>1</v>
      </c>
      <c r="G143" t="s">
        <v>2</v>
      </c>
      <c r="I143" t="s">
        <v>71</v>
      </c>
      <c r="J143">
        <v>10</v>
      </c>
      <c r="K143">
        <f>(M143+N143)/2</f>
        <v>15</v>
      </c>
      <c r="L143">
        <f t="shared" ref="L143:L146" si="6">J143*K143</f>
        <v>150</v>
      </c>
      <c r="M143">
        <v>10</v>
      </c>
      <c r="N143">
        <v>20</v>
      </c>
      <c r="O143">
        <f t="shared" ref="O143:O146" si="7">N143-M143</f>
        <v>10</v>
      </c>
      <c r="P143">
        <f>P142+J143</f>
        <v>12</v>
      </c>
    </row>
    <row r="144" spans="1:16" x14ac:dyDescent="0.25">
      <c r="A144" s="3"/>
      <c r="B144" s="3"/>
      <c r="C144" s="3"/>
      <c r="D144" s="3"/>
      <c r="F144">
        <v>2</v>
      </c>
      <c r="G144">
        <v>2</v>
      </c>
      <c r="I144" t="s">
        <v>67</v>
      </c>
      <c r="J144">
        <v>16</v>
      </c>
      <c r="K144">
        <f t="shared" ref="K144:K146" si="8">(M144+N144)/2</f>
        <v>25</v>
      </c>
      <c r="L144">
        <f t="shared" si="6"/>
        <v>400</v>
      </c>
      <c r="M144">
        <v>20</v>
      </c>
      <c r="N144">
        <v>30</v>
      </c>
      <c r="O144">
        <f t="shared" si="7"/>
        <v>10</v>
      </c>
      <c r="P144">
        <f t="shared" ref="P144:P146" si="9">P143+J144</f>
        <v>28</v>
      </c>
    </row>
    <row r="145" spans="1:16" x14ac:dyDescent="0.25">
      <c r="A145" s="3" t="s">
        <v>8</v>
      </c>
      <c r="B145" s="3"/>
      <c r="C145" s="3"/>
      <c r="D145" s="3"/>
      <c r="F145">
        <v>7</v>
      </c>
      <c r="G145">
        <v>9</v>
      </c>
      <c r="I145" t="s">
        <v>68</v>
      </c>
      <c r="J145" s="2">
        <v>10</v>
      </c>
      <c r="K145">
        <f t="shared" si="8"/>
        <v>35</v>
      </c>
      <c r="L145">
        <f t="shared" si="6"/>
        <v>350</v>
      </c>
      <c r="M145">
        <v>30</v>
      </c>
      <c r="N145">
        <v>40</v>
      </c>
      <c r="O145">
        <f t="shared" si="7"/>
        <v>10</v>
      </c>
      <c r="P145">
        <f t="shared" si="9"/>
        <v>38</v>
      </c>
    </row>
    <row r="146" spans="1:16" x14ac:dyDescent="0.25">
      <c r="A146" s="3"/>
      <c r="B146" s="3"/>
      <c r="C146" s="3"/>
      <c r="D146" s="3"/>
      <c r="F146">
        <v>6</v>
      </c>
      <c r="G146">
        <v>8</v>
      </c>
      <c r="I146" t="s">
        <v>69</v>
      </c>
      <c r="J146">
        <v>4</v>
      </c>
      <c r="K146">
        <f t="shared" si="8"/>
        <v>45</v>
      </c>
      <c r="L146">
        <f t="shared" si="6"/>
        <v>180</v>
      </c>
      <c r="M146">
        <v>40</v>
      </c>
      <c r="N146">
        <v>50</v>
      </c>
      <c r="O146">
        <f t="shared" si="7"/>
        <v>10</v>
      </c>
      <c r="P146">
        <f t="shared" si="9"/>
        <v>42</v>
      </c>
    </row>
    <row r="147" spans="1:16" x14ac:dyDescent="0.25">
      <c r="A147" s="3">
        <v>3</v>
      </c>
      <c r="B147" s="3"/>
      <c r="C147" s="3"/>
      <c r="D147" s="3"/>
      <c r="F147">
        <v>3</v>
      </c>
      <c r="G147">
        <v>6</v>
      </c>
      <c r="I147" t="s">
        <v>78</v>
      </c>
      <c r="J147">
        <f>SUM(J142:J146)</f>
        <v>42</v>
      </c>
      <c r="L147">
        <f>SUM(L142:L146)</f>
        <v>1090</v>
      </c>
    </row>
    <row r="148" spans="1:16" x14ac:dyDescent="0.25">
      <c r="A148" s="3"/>
      <c r="B148" s="3"/>
      <c r="C148" s="3"/>
      <c r="D148" s="3"/>
      <c r="F148">
        <v>4</v>
      </c>
      <c r="G148">
        <v>5</v>
      </c>
    </row>
    <row r="150" spans="1:16" x14ac:dyDescent="0.25">
      <c r="F150" t="s">
        <v>7</v>
      </c>
      <c r="G150">
        <f>CORREL(F144:F148,G144:G148)</f>
        <v>0.92447345164190509</v>
      </c>
      <c r="I150" t="s">
        <v>76</v>
      </c>
      <c r="J150">
        <f>P146</f>
        <v>42</v>
      </c>
    </row>
    <row r="151" spans="1:16" x14ac:dyDescent="0.25">
      <c r="I151" t="s">
        <v>77</v>
      </c>
      <c r="J151">
        <f>L147/J147</f>
        <v>25.952380952380953</v>
      </c>
    </row>
    <row r="152" spans="1:16" x14ac:dyDescent="0.25">
      <c r="A152" s="1" t="s">
        <v>9</v>
      </c>
      <c r="I152" t="s">
        <v>80</v>
      </c>
      <c r="J152">
        <f>J147/2</f>
        <v>21</v>
      </c>
      <c r="K152" t="s">
        <v>81</v>
      </c>
    </row>
    <row r="153" spans="1:16" x14ac:dyDescent="0.25">
      <c r="A153" s="53" t="s">
        <v>10</v>
      </c>
      <c r="B153" s="53"/>
      <c r="C153" s="53"/>
      <c r="D153" s="53"/>
      <c r="E153" s="53"/>
      <c r="F153" s="53"/>
      <c r="G153" s="53"/>
      <c r="H153" s="53"/>
      <c r="I153" t="s">
        <v>82</v>
      </c>
      <c r="J153">
        <f>M144+(J152-P143)/J144*O144</f>
        <v>25.625</v>
      </c>
    </row>
    <row r="154" spans="1:16" x14ac:dyDescent="0.25">
      <c r="I154" t="s">
        <v>83</v>
      </c>
      <c r="J154" s="44" t="str">
        <f>M136</f>
        <v>20-30</v>
      </c>
    </row>
    <row r="155" spans="1:16" x14ac:dyDescent="0.25">
      <c r="I155" t="s">
        <v>84</v>
      </c>
      <c r="J155">
        <f>J144-J143</f>
        <v>6</v>
      </c>
    </row>
    <row r="156" spans="1:16" x14ac:dyDescent="0.25">
      <c r="I156" t="s">
        <v>85</v>
      </c>
      <c r="J156">
        <f>J144-J145</f>
        <v>6</v>
      </c>
    </row>
    <row r="157" spans="1:16" x14ac:dyDescent="0.25">
      <c r="I157" t="s">
        <v>63</v>
      </c>
      <c r="J157">
        <f>M144+((J155)/(J155+J156))*O144</f>
        <v>25</v>
      </c>
    </row>
    <row r="160" spans="1:16" x14ac:dyDescent="0.25">
      <c r="J160" s="54" t="s">
        <v>9</v>
      </c>
      <c r="K160" s="53"/>
    </row>
    <row r="161" spans="10:15" x14ac:dyDescent="0.25">
      <c r="J161" s="53" t="s">
        <v>86</v>
      </c>
      <c r="K161" s="53"/>
      <c r="L161" s="53"/>
      <c r="M161" s="53"/>
      <c r="N161" s="53"/>
      <c r="O161" s="53"/>
    </row>
    <row r="162" spans="10:15" x14ac:dyDescent="0.25">
      <c r="J162" t="s">
        <v>24</v>
      </c>
      <c r="K162">
        <f>J151</f>
        <v>25.952380952380953</v>
      </c>
    </row>
    <row r="163" spans="10:15" x14ac:dyDescent="0.25">
      <c r="J163" t="s">
        <v>79</v>
      </c>
      <c r="K163">
        <f>J153</f>
        <v>25.625</v>
      </c>
    </row>
    <row r="164" spans="10:15" x14ac:dyDescent="0.25">
      <c r="J164" t="s">
        <v>87</v>
      </c>
      <c r="K164">
        <f>J157</f>
        <v>25</v>
      </c>
    </row>
    <row r="185" spans="1:16" x14ac:dyDescent="0.25">
      <c r="J185" s="53" t="s">
        <v>90</v>
      </c>
      <c r="K185" s="53"/>
      <c r="L185" s="53"/>
      <c r="M185" s="53"/>
      <c r="N185" s="53"/>
      <c r="O185" s="53"/>
      <c r="P185" s="53"/>
    </row>
    <row r="186" spans="1:16" ht="15.75" thickBot="1" x14ac:dyDescent="0.3">
      <c r="A186" s="42" t="s">
        <v>88</v>
      </c>
      <c r="K186" s="43"/>
    </row>
    <row r="187" spans="1:16" ht="15.75" thickBot="1" x14ac:dyDescent="0.3">
      <c r="A187" s="42" t="s">
        <v>89</v>
      </c>
      <c r="K187" s="45" t="s">
        <v>1</v>
      </c>
      <c r="L187" s="46">
        <v>10</v>
      </c>
      <c r="M187" s="46">
        <v>20</v>
      </c>
      <c r="N187" s="46">
        <v>30</v>
      </c>
      <c r="O187" s="46">
        <v>40</v>
      </c>
      <c r="P187" s="52"/>
    </row>
    <row r="188" spans="1:16" ht="15.75" thickBot="1" x14ac:dyDescent="0.3">
      <c r="K188" s="48" t="s">
        <v>70</v>
      </c>
      <c r="L188" s="49">
        <v>2</v>
      </c>
      <c r="M188" s="49">
        <v>5</v>
      </c>
      <c r="N188" s="49">
        <v>3</v>
      </c>
      <c r="O188" s="49">
        <v>2</v>
      </c>
      <c r="P188" s="52"/>
    </row>
    <row r="189" spans="1:16" x14ac:dyDescent="0.25">
      <c r="K189" s="43"/>
    </row>
    <row r="190" spans="1:16" x14ac:dyDescent="0.25">
      <c r="A190" s="50" t="s">
        <v>1</v>
      </c>
      <c r="I190" t="s">
        <v>1</v>
      </c>
    </row>
    <row r="191" spans="1:16" x14ac:dyDescent="0.25">
      <c r="A191" s="7">
        <v>1</v>
      </c>
      <c r="I191">
        <v>10</v>
      </c>
    </row>
    <row r="192" spans="1:16" x14ac:dyDescent="0.25">
      <c r="A192" s="7">
        <v>4</v>
      </c>
      <c r="I192">
        <v>10</v>
      </c>
    </row>
    <row r="193" spans="1:10" x14ac:dyDescent="0.25">
      <c r="A193" s="7">
        <v>6</v>
      </c>
      <c r="I193">
        <v>20</v>
      </c>
    </row>
    <row r="194" spans="1:10" x14ac:dyDescent="0.25">
      <c r="A194" s="7">
        <v>8</v>
      </c>
      <c r="I194">
        <v>20</v>
      </c>
    </row>
    <row r="195" spans="1:10" x14ac:dyDescent="0.25">
      <c r="A195" s="7">
        <v>2</v>
      </c>
      <c r="I195">
        <v>20</v>
      </c>
    </row>
    <row r="196" spans="1:10" x14ac:dyDescent="0.25">
      <c r="A196" s="7">
        <v>3</v>
      </c>
      <c r="I196">
        <v>20</v>
      </c>
    </row>
    <row r="197" spans="1:10" x14ac:dyDescent="0.25">
      <c r="A197" s="7">
        <v>5</v>
      </c>
      <c r="I197">
        <v>20</v>
      </c>
    </row>
    <row r="198" spans="1:10" x14ac:dyDescent="0.25">
      <c r="I198">
        <v>30</v>
      </c>
    </row>
    <row r="199" spans="1:10" x14ac:dyDescent="0.25">
      <c r="I199">
        <v>30</v>
      </c>
    </row>
    <row r="200" spans="1:10" x14ac:dyDescent="0.25">
      <c r="A200" t="s">
        <v>40</v>
      </c>
      <c r="B200" s="51">
        <f>_xlfn.STDEV.P(A190:A197)</f>
        <v>2.2314999074019015</v>
      </c>
      <c r="I200">
        <v>30</v>
      </c>
    </row>
    <row r="201" spans="1:10" x14ac:dyDescent="0.25">
      <c r="I201">
        <v>40</v>
      </c>
    </row>
    <row r="202" spans="1:10" x14ac:dyDescent="0.25">
      <c r="I202">
        <v>40</v>
      </c>
    </row>
    <row r="205" spans="1:10" x14ac:dyDescent="0.25">
      <c r="I205" t="s">
        <v>40</v>
      </c>
      <c r="J205">
        <f>_xlfn.STDEV.P(I191:I202)</f>
        <v>9.5379359518829983</v>
      </c>
    </row>
    <row r="236" spans="1:10" x14ac:dyDescent="0.25">
      <c r="A236" s="53" t="s">
        <v>91</v>
      </c>
      <c r="B236" s="53"/>
      <c r="C236" s="53"/>
      <c r="D236" s="53"/>
      <c r="E236" s="53"/>
      <c r="F236" s="53"/>
      <c r="G236" s="53"/>
      <c r="H236" s="53"/>
    </row>
    <row r="237" spans="1:10" x14ac:dyDescent="0.25">
      <c r="A237" t="s">
        <v>92</v>
      </c>
      <c r="B237" t="s">
        <v>93</v>
      </c>
    </row>
    <row r="239" spans="1:10" x14ac:dyDescent="0.25">
      <c r="A239" t="s">
        <v>1</v>
      </c>
    </row>
    <row r="240" spans="1:10" x14ac:dyDescent="0.25">
      <c r="A240">
        <v>10</v>
      </c>
      <c r="J240" t="s">
        <v>98</v>
      </c>
    </row>
    <row r="241" spans="1:14" x14ac:dyDescent="0.25">
      <c r="A241">
        <v>15</v>
      </c>
      <c r="I241" t="s">
        <v>99</v>
      </c>
      <c r="J241" t="s">
        <v>66</v>
      </c>
      <c r="K241" t="s">
        <v>71</v>
      </c>
      <c r="L241" t="s">
        <v>67</v>
      </c>
      <c r="M241" t="s">
        <v>68</v>
      </c>
      <c r="N241" t="s">
        <v>69</v>
      </c>
    </row>
    <row r="242" spans="1:14" x14ac:dyDescent="0.25">
      <c r="A242">
        <v>9</v>
      </c>
      <c r="C242" t="s">
        <v>95</v>
      </c>
      <c r="D242">
        <f>_xlfn.QUARTILE.EXC(A240:A251,1)</f>
        <v>9.25</v>
      </c>
      <c r="I242" t="s">
        <v>100</v>
      </c>
      <c r="J242">
        <v>2</v>
      </c>
      <c r="K242">
        <v>10</v>
      </c>
      <c r="L242">
        <v>16</v>
      </c>
      <c r="M242">
        <v>8</v>
      </c>
      <c r="N242">
        <v>3</v>
      </c>
    </row>
    <row r="243" spans="1:14" x14ac:dyDescent="0.25">
      <c r="A243">
        <v>6</v>
      </c>
      <c r="C243" t="s">
        <v>96</v>
      </c>
      <c r="D243">
        <f>_xlfn.QUARTILE.EXC(A242:A253,2)</f>
        <v>12.5</v>
      </c>
    </row>
    <row r="244" spans="1:14" x14ac:dyDescent="0.25">
      <c r="A244">
        <v>8</v>
      </c>
      <c r="C244" t="s">
        <v>94</v>
      </c>
      <c r="D244">
        <f>_xlfn.QUARTILE.EXC(A241:A252,3)</f>
        <v>16</v>
      </c>
      <c r="J244" s="1" t="s">
        <v>4</v>
      </c>
    </row>
    <row r="245" spans="1:14" x14ac:dyDescent="0.25">
      <c r="A245">
        <v>10</v>
      </c>
      <c r="J245" t="s">
        <v>101</v>
      </c>
    </row>
    <row r="246" spans="1:14" x14ac:dyDescent="0.25">
      <c r="A246">
        <v>16</v>
      </c>
    </row>
    <row r="247" spans="1:14" x14ac:dyDescent="0.25">
      <c r="A247">
        <v>18</v>
      </c>
      <c r="C247" t="s">
        <v>97</v>
      </c>
      <c r="D247">
        <f>((D244+D242)-(2*D243))/(D244-D242)</f>
        <v>3.7037037037037035E-2</v>
      </c>
    </row>
    <row r="248" spans="1:14" x14ac:dyDescent="0.25">
      <c r="A248">
        <v>19</v>
      </c>
      <c r="I248" t="s">
        <v>65</v>
      </c>
      <c r="J248" t="s">
        <v>102</v>
      </c>
      <c r="K248" t="s">
        <v>103</v>
      </c>
    </row>
    <row r="249" spans="1:14" x14ac:dyDescent="0.25">
      <c r="A249">
        <v>16</v>
      </c>
      <c r="I249" t="s">
        <v>66</v>
      </c>
      <c r="J249">
        <v>2</v>
      </c>
      <c r="K249">
        <f>J249</f>
        <v>2</v>
      </c>
    </row>
    <row r="250" spans="1:14" x14ac:dyDescent="0.25">
      <c r="A250">
        <v>15</v>
      </c>
      <c r="C250" s="1" t="s">
        <v>9</v>
      </c>
      <c r="I250" t="s">
        <v>71</v>
      </c>
      <c r="J250">
        <v>10</v>
      </c>
      <c r="K250">
        <f>K249+J250</f>
        <v>12</v>
      </c>
    </row>
    <row r="251" spans="1:14" x14ac:dyDescent="0.25">
      <c r="A251">
        <v>10</v>
      </c>
      <c r="C251" t="str">
        <f>IF(D247&gt;0,"The distribution is positively skewed",IF(D247=0,the distribution is symmetrical,the distribution is negatively skewed))</f>
        <v>The distribution is positively skewed</v>
      </c>
      <c r="I251" t="s">
        <v>67</v>
      </c>
      <c r="J251">
        <v>16</v>
      </c>
      <c r="K251">
        <f t="shared" ref="K251:K253" si="10">K250+J251</f>
        <v>28</v>
      </c>
    </row>
    <row r="252" spans="1:14" x14ac:dyDescent="0.25">
      <c r="I252" t="s">
        <v>68</v>
      </c>
      <c r="J252">
        <v>8</v>
      </c>
      <c r="K252">
        <f t="shared" si="10"/>
        <v>36</v>
      </c>
    </row>
    <row r="253" spans="1:14" x14ac:dyDescent="0.25">
      <c r="I253" t="s">
        <v>69</v>
      </c>
      <c r="J253">
        <v>3</v>
      </c>
      <c r="K253">
        <f t="shared" si="10"/>
        <v>39</v>
      </c>
    </row>
    <row r="254" spans="1:14" x14ac:dyDescent="0.25">
      <c r="I254" t="s">
        <v>51</v>
      </c>
      <c r="J254">
        <f>SUM(J249:J253)</f>
        <v>39</v>
      </c>
    </row>
    <row r="256" spans="1:14" x14ac:dyDescent="0.25">
      <c r="I256" t="s">
        <v>104</v>
      </c>
      <c r="J256">
        <f>J254/4</f>
        <v>9.75</v>
      </c>
      <c r="K256" t="str">
        <f>I250</f>
        <v>10--20</v>
      </c>
    </row>
    <row r="257" spans="9:11" x14ac:dyDescent="0.25">
      <c r="I257" t="s">
        <v>105</v>
      </c>
      <c r="J257">
        <f>(2*J254)/4</f>
        <v>19.5</v>
      </c>
      <c r="K257" t="str">
        <f>I251</f>
        <v>20-30</v>
      </c>
    </row>
    <row r="258" spans="9:11" x14ac:dyDescent="0.25">
      <c r="I258" t="s">
        <v>106</v>
      </c>
      <c r="J258">
        <f>3*(J254/4)</f>
        <v>29.25</v>
      </c>
      <c r="K258" t="str">
        <f>I252</f>
        <v>30-40</v>
      </c>
    </row>
    <row r="260" spans="9:11" x14ac:dyDescent="0.25">
      <c r="I260" t="s">
        <v>95</v>
      </c>
      <c r="J260">
        <f>10+((J256-K249)/J250)*10</f>
        <v>17.75</v>
      </c>
    </row>
    <row r="261" spans="9:11" x14ac:dyDescent="0.25">
      <c r="I261" t="s">
        <v>96</v>
      </c>
      <c r="J261">
        <f>20+((J257-K250)/J251)*10</f>
        <v>24.6875</v>
      </c>
    </row>
    <row r="262" spans="9:11" x14ac:dyDescent="0.25">
      <c r="I262" t="s">
        <v>94</v>
      </c>
      <c r="J262">
        <f>30+((J258-K251)/J252)*10</f>
        <v>31.5625</v>
      </c>
    </row>
    <row r="264" spans="9:11" x14ac:dyDescent="0.25">
      <c r="I264" t="s">
        <v>107</v>
      </c>
      <c r="J264">
        <f>((J262+J260)-(2*J261))/(J262-J260)</f>
        <v>-4.5248868778280547E-3</v>
      </c>
    </row>
    <row r="266" spans="9:11" x14ac:dyDescent="0.25">
      <c r="J266" s="1" t="s">
        <v>9</v>
      </c>
    </row>
    <row r="267" spans="9:11" x14ac:dyDescent="0.25">
      <c r="J267" t="str">
        <f>IF(J264 &gt; 0,"The distribution is positively skewed",IF(J264=0,"the distribution is symmetrical","the distribution is negatively skewed"))</f>
        <v>the distribution is negatively skewed</v>
      </c>
    </row>
    <row r="286" spans="2:17" x14ac:dyDescent="0.25">
      <c r="I286" s="60" t="s">
        <v>118</v>
      </c>
      <c r="J286" s="60"/>
      <c r="K286" s="60"/>
      <c r="L286" s="60"/>
      <c r="M286" s="60"/>
      <c r="N286" s="60"/>
      <c r="O286" s="60"/>
      <c r="P286" s="60"/>
      <c r="Q286" s="60"/>
    </row>
    <row r="287" spans="2:17" x14ac:dyDescent="0.25">
      <c r="B287" t="s">
        <v>108</v>
      </c>
      <c r="I287" s="60" t="s">
        <v>65</v>
      </c>
      <c r="J287" s="61" t="s">
        <v>71</v>
      </c>
      <c r="K287" s="60" t="s">
        <v>67</v>
      </c>
      <c r="L287" s="60" t="s">
        <v>68</v>
      </c>
      <c r="M287" s="60" t="s">
        <v>69</v>
      </c>
      <c r="N287" s="60" t="s">
        <v>119</v>
      </c>
      <c r="O287" s="60"/>
      <c r="P287" s="60"/>
      <c r="Q287" s="60"/>
    </row>
    <row r="288" spans="2:17" x14ac:dyDescent="0.25">
      <c r="B288" t="s">
        <v>99</v>
      </c>
      <c r="C288" t="s">
        <v>66</v>
      </c>
      <c r="D288" t="s">
        <v>71</v>
      </c>
      <c r="E288" t="s">
        <v>67</v>
      </c>
      <c r="F288" t="s">
        <v>68</v>
      </c>
      <c r="G288" t="s">
        <v>69</v>
      </c>
      <c r="I288" s="60" t="s">
        <v>102</v>
      </c>
      <c r="J288" s="60">
        <v>2</v>
      </c>
      <c r="K288" s="60">
        <v>7</v>
      </c>
      <c r="L288" s="60">
        <v>15</v>
      </c>
      <c r="M288" s="60">
        <v>8</v>
      </c>
      <c r="N288" s="60">
        <v>1</v>
      </c>
      <c r="O288" s="60"/>
      <c r="P288" s="60"/>
      <c r="Q288" s="60"/>
    </row>
    <row r="289" spans="1:15" x14ac:dyDescent="0.25">
      <c r="B289" t="s">
        <v>100</v>
      </c>
      <c r="C289">
        <v>2</v>
      </c>
      <c r="D289">
        <v>10</v>
      </c>
      <c r="E289">
        <v>16</v>
      </c>
      <c r="F289">
        <v>8</v>
      </c>
      <c r="G289">
        <v>3</v>
      </c>
    </row>
    <row r="290" spans="1:15" x14ac:dyDescent="0.25">
      <c r="I290" s="54" t="s">
        <v>4</v>
      </c>
      <c r="J290" s="53"/>
    </row>
    <row r="291" spans="1:15" x14ac:dyDescent="0.25">
      <c r="J291" t="s">
        <v>82</v>
      </c>
      <c r="K291" t="s">
        <v>120</v>
      </c>
    </row>
    <row r="292" spans="1:15" x14ac:dyDescent="0.25">
      <c r="A292" t="s">
        <v>65</v>
      </c>
      <c r="B292" t="s">
        <v>102</v>
      </c>
      <c r="C292" t="s">
        <v>103</v>
      </c>
      <c r="I292" s="54" t="s">
        <v>17</v>
      </c>
      <c r="J292" s="53"/>
      <c r="M292" t="s">
        <v>121</v>
      </c>
    </row>
    <row r="293" spans="1:15" x14ac:dyDescent="0.25">
      <c r="A293" t="s">
        <v>66</v>
      </c>
      <c r="B293">
        <v>2</v>
      </c>
      <c r="C293">
        <f>B293</f>
        <v>2</v>
      </c>
      <c r="J293" t="s">
        <v>65</v>
      </c>
      <c r="K293" t="s">
        <v>102</v>
      </c>
      <c r="L293" t="s">
        <v>75</v>
      </c>
      <c r="N293" t="s">
        <v>127</v>
      </c>
      <c r="O293" t="s">
        <v>128</v>
      </c>
    </row>
    <row r="294" spans="1:15" x14ac:dyDescent="0.25">
      <c r="A294" t="s">
        <v>71</v>
      </c>
      <c r="B294">
        <v>10</v>
      </c>
      <c r="C294">
        <f>C293+B294</f>
        <v>12</v>
      </c>
      <c r="J294" t="s">
        <v>71</v>
      </c>
      <c r="K294">
        <v>2</v>
      </c>
      <c r="L294">
        <f>K294</f>
        <v>2</v>
      </c>
      <c r="N294" t="s">
        <v>122</v>
      </c>
      <c r="O294">
        <f>L294</f>
        <v>2</v>
      </c>
    </row>
    <row r="295" spans="1:15" x14ac:dyDescent="0.25">
      <c r="A295" t="s">
        <v>67</v>
      </c>
      <c r="B295">
        <v>16</v>
      </c>
      <c r="C295">
        <f t="shared" ref="C295:C297" si="11">C294+B295</f>
        <v>28</v>
      </c>
      <c r="J295" t="s">
        <v>67</v>
      </c>
      <c r="K295">
        <v>7</v>
      </c>
      <c r="L295">
        <f>L294+K295</f>
        <v>9</v>
      </c>
      <c r="N295" t="s">
        <v>123</v>
      </c>
      <c r="O295">
        <f>L295</f>
        <v>9</v>
      </c>
    </row>
    <row r="296" spans="1:15" x14ac:dyDescent="0.25">
      <c r="A296" t="s">
        <v>68</v>
      </c>
      <c r="B296">
        <v>8</v>
      </c>
      <c r="C296">
        <f t="shared" si="11"/>
        <v>36</v>
      </c>
      <c r="J296" t="s">
        <v>68</v>
      </c>
      <c r="K296">
        <v>15</v>
      </c>
      <c r="L296">
        <f t="shared" ref="L296:L298" si="12">L295+K296</f>
        <v>24</v>
      </c>
      <c r="N296" t="s">
        <v>124</v>
      </c>
      <c r="O296">
        <f>L296</f>
        <v>24</v>
      </c>
    </row>
    <row r="297" spans="1:15" x14ac:dyDescent="0.25">
      <c r="A297" t="s">
        <v>69</v>
      </c>
      <c r="B297">
        <v>3</v>
      </c>
      <c r="C297">
        <f t="shared" si="11"/>
        <v>39</v>
      </c>
      <c r="J297" t="s">
        <v>69</v>
      </c>
      <c r="K297">
        <v>8</v>
      </c>
      <c r="L297">
        <f t="shared" si="12"/>
        <v>32</v>
      </c>
      <c r="N297" t="s">
        <v>125</v>
      </c>
      <c r="O297">
        <f>L297</f>
        <v>32</v>
      </c>
    </row>
    <row r="298" spans="1:15" x14ac:dyDescent="0.25">
      <c r="A298" t="s">
        <v>51</v>
      </c>
      <c r="B298">
        <f>SUM(B293:B297)</f>
        <v>39</v>
      </c>
      <c r="J298" t="s">
        <v>119</v>
      </c>
      <c r="K298">
        <v>1</v>
      </c>
      <c r="L298">
        <f t="shared" si="12"/>
        <v>33</v>
      </c>
      <c r="N298" t="s">
        <v>126</v>
      </c>
      <c r="O298">
        <f>L298</f>
        <v>33</v>
      </c>
    </row>
    <row r="299" spans="1:15" x14ac:dyDescent="0.25">
      <c r="D299" t="s">
        <v>113</v>
      </c>
      <c r="E299" t="s">
        <v>114</v>
      </c>
    </row>
    <row r="300" spans="1:15" x14ac:dyDescent="0.25">
      <c r="B300" t="s">
        <v>109</v>
      </c>
      <c r="C300">
        <f>10*(B298/100)</f>
        <v>3.9000000000000004</v>
      </c>
      <c r="D300">
        <v>10</v>
      </c>
      <c r="E300">
        <v>20</v>
      </c>
    </row>
    <row r="301" spans="1:15" x14ac:dyDescent="0.25">
      <c r="B301" t="s">
        <v>110</v>
      </c>
      <c r="C301">
        <f>50*(B298/100)</f>
        <v>19.5</v>
      </c>
      <c r="D301">
        <v>20</v>
      </c>
      <c r="E301">
        <v>30</v>
      </c>
    </row>
    <row r="302" spans="1:15" x14ac:dyDescent="0.25">
      <c r="B302" t="s">
        <v>111</v>
      </c>
      <c r="C302">
        <f>90*(B298/100)</f>
        <v>35.1</v>
      </c>
      <c r="D302">
        <v>30</v>
      </c>
      <c r="E302">
        <v>40</v>
      </c>
    </row>
    <row r="304" spans="1:15" x14ac:dyDescent="0.25">
      <c r="B304" t="s">
        <v>112</v>
      </c>
      <c r="C304">
        <f>D300+((C300-C293)/B294)*10</f>
        <v>11.9</v>
      </c>
    </row>
    <row r="305" spans="2:10" x14ac:dyDescent="0.25">
      <c r="B305" t="s">
        <v>115</v>
      </c>
      <c r="C305">
        <f t="shared" ref="C305:C306" si="13">D301+((C301-C294)/B295)*10</f>
        <v>24.6875</v>
      </c>
    </row>
    <row r="306" spans="2:10" x14ac:dyDescent="0.25">
      <c r="B306" t="s">
        <v>116</v>
      </c>
      <c r="C306">
        <f t="shared" si="13"/>
        <v>38.875</v>
      </c>
    </row>
    <row r="309" spans="2:10" x14ac:dyDescent="0.25">
      <c r="B309" t="s">
        <v>107</v>
      </c>
      <c r="C309">
        <f>((C306+C304)-(2*C305))/(C306-C304)</f>
        <v>5.189990732159401E-2</v>
      </c>
    </row>
    <row r="311" spans="2:10" x14ac:dyDescent="0.25">
      <c r="B311" s="1" t="s">
        <v>9</v>
      </c>
    </row>
    <row r="312" spans="2:10" x14ac:dyDescent="0.25">
      <c r="B312" t="s">
        <v>117</v>
      </c>
    </row>
    <row r="316" spans="2:10" x14ac:dyDescent="0.25">
      <c r="I316" s="1" t="s">
        <v>9</v>
      </c>
    </row>
    <row r="317" spans="2:10" x14ac:dyDescent="0.25">
      <c r="J317" t="s">
        <v>129</v>
      </c>
    </row>
  </sheetData>
  <mergeCells count="33">
    <mergeCell ref="I290:J290"/>
    <mergeCell ref="I292:J292"/>
    <mergeCell ref="B75:C75"/>
    <mergeCell ref="B34:C34"/>
    <mergeCell ref="B7:C7"/>
    <mergeCell ref="B48:C48"/>
    <mergeCell ref="K6:N6"/>
    <mergeCell ref="K7:N7"/>
    <mergeCell ref="K8:N8"/>
    <mergeCell ref="K9:N9"/>
    <mergeCell ref="K11:M11"/>
    <mergeCell ref="K16:K17"/>
    <mergeCell ref="L16:N17"/>
    <mergeCell ref="K12:N13"/>
    <mergeCell ref="K14:K15"/>
    <mergeCell ref="L14:N15"/>
    <mergeCell ref="K48:L49"/>
    <mergeCell ref="K88:O89"/>
    <mergeCell ref="K93:P93"/>
    <mergeCell ref="J96:K96"/>
    <mergeCell ref="J97:M97"/>
    <mergeCell ref="J98:M98"/>
    <mergeCell ref="J99:M99"/>
    <mergeCell ref="N96:O96"/>
    <mergeCell ref="N104:O105"/>
    <mergeCell ref="K122:L122"/>
    <mergeCell ref="K123:L123"/>
    <mergeCell ref="A236:H236"/>
    <mergeCell ref="A135:H135"/>
    <mergeCell ref="A153:H153"/>
    <mergeCell ref="J160:K160"/>
    <mergeCell ref="J161:O161"/>
    <mergeCell ref="J185:P185"/>
  </mergeCells>
  <phoneticPr fontId="10" type="noConversion"/>
  <pageMargins left="0.7" right="0.7" top="0.75" bottom="0.75" header="0.3" footer="0.3"/>
  <pageSetup paperSize="9" orientation="portrait" r:id="rId1"/>
  <headerFooter>
    <oddHeader xml:space="preserve">&amp;CUjwal Parajuli&amp;R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2023-07-31T08:53:13Z</dcterms:created>
  <dcterms:modified xsi:type="dcterms:W3CDTF">2023-08-17T08:22:07Z</dcterms:modified>
</cp:coreProperties>
</file>