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jwal\git\business Stats\"/>
    </mc:Choice>
  </mc:AlternateContent>
  <xr:revisionPtr revIDLastSave="0" documentId="13_ncr:1_{C8D4F86E-6716-49DB-BBD6-5D8878E5184A}" xr6:coauthVersionLast="47" xr6:coauthVersionMax="47" xr10:uidLastSave="{00000000-0000-0000-0000-000000000000}"/>
  <bookViews>
    <workbookView xWindow="-120" yWindow="-120" windowWidth="29040" windowHeight="15720" activeTab="2" xr2:uid="{84D76DE3-8557-4722-B5C1-4893E077E0C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3" l="1"/>
  <c r="F24" i="3"/>
  <c r="F23" i="3"/>
  <c r="F22" i="3"/>
  <c r="F21" i="3"/>
  <c r="F20" i="3"/>
  <c r="E20" i="3"/>
  <c r="F61" i="3"/>
  <c r="E61" i="3"/>
  <c r="E62" i="3"/>
  <c r="F62" i="3" s="1"/>
  <c r="E63" i="3"/>
  <c r="E64" i="3"/>
  <c r="F64" i="3" s="1"/>
  <c r="E65" i="3"/>
  <c r="F65" i="3" s="1"/>
  <c r="E66" i="3"/>
  <c r="C67" i="3"/>
  <c r="F66" i="3"/>
  <c r="D66" i="3"/>
  <c r="D65" i="3"/>
  <c r="D64" i="3"/>
  <c r="F63" i="3"/>
  <c r="D63" i="3"/>
  <c r="D62" i="3"/>
  <c r="D61" i="3"/>
  <c r="D67" i="3" s="1"/>
  <c r="C70" i="3" s="1"/>
  <c r="C26" i="3"/>
  <c r="E25" i="3"/>
  <c r="D25" i="3"/>
  <c r="E24" i="3"/>
  <c r="D24" i="3"/>
  <c r="E23" i="3"/>
  <c r="D23" i="3"/>
  <c r="E22" i="3"/>
  <c r="D22" i="3"/>
  <c r="E21" i="3"/>
  <c r="D21" i="3"/>
  <c r="D20" i="3"/>
  <c r="F20" i="2"/>
  <c r="G16" i="1"/>
  <c r="E67" i="3" l="1"/>
  <c r="F67" i="3"/>
  <c r="E26" i="3"/>
  <c r="D26" i="3"/>
  <c r="C29" i="3" s="1"/>
  <c r="C30" i="3" s="1"/>
  <c r="C31" i="3" s="1"/>
  <c r="F26" i="3"/>
</calcChain>
</file>

<file path=xl/sharedStrings.xml><?xml version="1.0" encoding="utf-8"?>
<sst xmlns="http://schemas.openxmlformats.org/spreadsheetml/2006/main" count="73" uniqueCount="40">
  <si>
    <t>Calculate the correlation of the following data</t>
  </si>
  <si>
    <t>x</t>
  </si>
  <si>
    <t>y</t>
  </si>
  <si>
    <t>Also write the correlation coefficient</t>
  </si>
  <si>
    <t>Working Expression:</t>
  </si>
  <si>
    <t>1correlation(x,y)=cov(x,y)/v(x)^-2*v(y)^-2</t>
  </si>
  <si>
    <t>calculation:</t>
  </si>
  <si>
    <t>r(x,y)</t>
  </si>
  <si>
    <t>r(xy)=nΣxy-ΣxΣy/(nΣx62))^-2(nΣy^2-(Σy)^2)^-2</t>
  </si>
  <si>
    <t>Conclusion:</t>
  </si>
  <si>
    <t>Since r(x,y)&gt;0 the correlation is Highly positive</t>
  </si>
  <si>
    <t>Fit the following data on the regression of y on x</t>
  </si>
  <si>
    <t>Also fin dout the value when x=10</t>
  </si>
  <si>
    <t>Working Experssion:</t>
  </si>
  <si>
    <t>1.y=a+bx</t>
  </si>
  <si>
    <t>2.ey=na+bΣx</t>
  </si>
  <si>
    <t>3.Σxy=aΣx+bΣx^2</t>
  </si>
  <si>
    <t>Calculation:</t>
  </si>
  <si>
    <t>Unicodes:</t>
  </si>
  <si>
    <t>alt+251</t>
  </si>
  <si>
    <t>square root</t>
  </si>
  <si>
    <t>alt+228</t>
  </si>
  <si>
    <t>Summation</t>
  </si>
  <si>
    <t>When x=10,then</t>
  </si>
  <si>
    <t>y=</t>
  </si>
  <si>
    <t>Regression equation</t>
  </si>
  <si>
    <t>1.2209x+0.6279</t>
  </si>
  <si>
    <t>f</t>
  </si>
  <si>
    <t>fx</t>
  </si>
  <si>
    <t>mean</t>
  </si>
  <si>
    <t>p</t>
  </si>
  <si>
    <t>q</t>
  </si>
  <si>
    <t>np</t>
  </si>
  <si>
    <t>p(x)</t>
  </si>
  <si>
    <t>EF</t>
  </si>
  <si>
    <t>Fit the following data in Binomial Distribution.</t>
  </si>
  <si>
    <r>
      <t>2.</t>
    </r>
    <r>
      <rPr>
        <sz val="7"/>
        <color theme="1"/>
        <rFont val="Times New Roman"/>
        <family val="1"/>
      </rPr>
      <t xml:space="preserve">   </t>
    </r>
  </si>
  <si>
    <t xml:space="preserve"> </t>
  </si>
  <si>
    <r>
      <t>3.</t>
    </r>
    <r>
      <rPr>
        <vertAlign val="superscript"/>
        <sz val="7"/>
        <color theme="1"/>
        <rFont val="Times New Roman"/>
        <family val="1"/>
      </rPr>
      <t xml:space="preserve">             </t>
    </r>
    <r>
      <rPr>
        <sz val="15"/>
        <color theme="1"/>
        <rFont val="Calibri"/>
        <family val="2"/>
        <scheme val="minor"/>
      </rPr>
      <t xml:space="preserve">P(x) = </t>
    </r>
    <r>
      <rPr>
        <vertAlign val="superscript"/>
        <sz val="15"/>
        <color theme="1"/>
        <rFont val="Calibri"/>
        <family val="2"/>
        <scheme val="minor"/>
      </rPr>
      <t>n</t>
    </r>
    <r>
      <rPr>
        <sz val="15"/>
        <color theme="1"/>
        <rFont val="Calibri"/>
        <family val="2"/>
        <scheme val="minor"/>
      </rPr>
      <t>C</t>
    </r>
    <r>
      <rPr>
        <vertAlign val="subscript"/>
        <sz val="15"/>
        <color theme="1"/>
        <rFont val="Calibri"/>
        <family val="2"/>
        <scheme val="minor"/>
      </rPr>
      <t>x</t>
    </r>
    <r>
      <rPr>
        <sz val="15"/>
        <color theme="1"/>
        <rFont val="Calibri"/>
        <family val="2"/>
        <scheme val="minor"/>
      </rPr>
      <t>p</t>
    </r>
    <r>
      <rPr>
        <vertAlign val="superscript"/>
        <sz val="15"/>
        <color theme="1"/>
        <rFont val="Calibri"/>
        <family val="2"/>
        <scheme val="minor"/>
      </rPr>
      <t>x</t>
    </r>
    <r>
      <rPr>
        <sz val="15"/>
        <color theme="1"/>
        <rFont val="Calibri"/>
        <family val="2"/>
        <scheme val="minor"/>
      </rPr>
      <t>q</t>
    </r>
    <r>
      <rPr>
        <vertAlign val="superscript"/>
        <sz val="15"/>
        <color theme="1"/>
        <rFont val="Calibri"/>
        <family val="2"/>
        <scheme val="minor"/>
      </rPr>
      <t>n-x</t>
    </r>
  </si>
  <si>
    <t>Fit the following data in Poisson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</si>
</sst>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"/>
      <color theme="1"/>
      <name val="Times New Roman"/>
      <family val="1"/>
    </font>
    <font>
      <vertAlign val="superscript"/>
      <sz val="16"/>
      <color theme="1"/>
      <name val="Calibri"/>
      <family val="2"/>
      <scheme val="minor"/>
    </font>
    <font>
      <vertAlign val="superscript"/>
      <sz val="7"/>
      <color theme="1"/>
      <name val="Times New Roman"/>
      <family val="1"/>
    </font>
    <font>
      <vertAlign val="superscript"/>
      <sz val="15"/>
      <color theme="1"/>
      <name val="Calibri"/>
      <family val="2"/>
      <scheme val="minor"/>
    </font>
    <font>
      <vertAlign val="subscript"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7" xfId="0" applyBorder="1"/>
    <xf numFmtId="2" fontId="0" fillId="0" borderId="0" xfId="0" applyNumberFormat="1"/>
    <xf numFmtId="0" fontId="0" fillId="0" borderId="0" xfId="0" applyAlignment="1"/>
    <xf numFmtId="0" fontId="0" fillId="0" borderId="0" xfId="0" applyBorder="1"/>
    <xf numFmtId="1" fontId="0" fillId="0" borderId="0" xfId="0" applyNumberFormat="1" applyBorder="1"/>
    <xf numFmtId="0" fontId="3" fillId="0" borderId="1" xfId="0" applyFont="1" applyBorder="1" applyAlignment="1">
      <alignment vertical="center" wrapText="1"/>
    </xf>
    <xf numFmtId="165" fontId="0" fillId="0" borderId="1" xfId="0" applyNumberFormat="1" applyBorder="1"/>
    <xf numFmtId="1" fontId="0" fillId="0" borderId="1" xfId="0" applyNumberFormat="1" applyBorder="1"/>
    <xf numFmtId="1" fontId="0" fillId="0" borderId="4" xfId="0" applyNumberFormat="1" applyBorder="1"/>
    <xf numFmtId="0" fontId="3" fillId="0" borderId="12" xfId="0" applyFont="1" applyBorder="1" applyAlignment="1">
      <alignment vertical="center" wrapText="1"/>
    </xf>
    <xf numFmtId="0" fontId="0" fillId="0" borderId="12" xfId="0" applyBorder="1"/>
    <xf numFmtId="165" fontId="0" fillId="0" borderId="12" xfId="0" applyNumberFormat="1" applyBorder="1"/>
    <xf numFmtId="1" fontId="0" fillId="0" borderId="6" xfId="0" applyNumberFormat="1" applyBorder="1"/>
    <xf numFmtId="0" fontId="3" fillId="0" borderId="13" xfId="0" applyFont="1" applyBorder="1" applyAlignment="1">
      <alignment vertical="center" wrapText="1"/>
    </xf>
    <xf numFmtId="0" fontId="0" fillId="0" borderId="13" xfId="0" applyBorder="1"/>
    <xf numFmtId="0" fontId="0" fillId="0" borderId="8" xfId="0" applyFill="1" applyBorder="1"/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0" fillId="0" borderId="15" xfId="0" applyBorder="1"/>
    <xf numFmtId="165" fontId="0" fillId="0" borderId="15" xfId="0" applyNumberFormat="1" applyBorder="1"/>
    <xf numFmtId="1" fontId="0" fillId="0" borderId="16" xfId="0" applyNumberFormat="1" applyBorder="1"/>
    <xf numFmtId="165" fontId="0" fillId="0" borderId="13" xfId="0" applyNumberFormat="1" applyBorder="1"/>
    <xf numFmtId="1" fontId="0" fillId="0" borderId="8" xfId="0" applyNumberFormat="1" applyBorder="1"/>
    <xf numFmtId="0" fontId="1" fillId="0" borderId="17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" fillId="0" borderId="0" xfId="0" applyFont="1" applyAlignment="1">
      <alignment horizontal="left" vertical="center" indent="3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3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Sheet2!$E$12:$E$16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Sheet2!$F$12:$F$16</c:f>
              <c:numCache>
                <c:formatCode>General</c:formatCode>
                <c:ptCount val="5"/>
                <c:pt idx="0">
                  <c:v>2</c:v>
                </c:pt>
                <c:pt idx="1">
                  <c:v>9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B8-462E-BF70-EF03FA7C9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122064"/>
        <c:axId val="1701121232"/>
      </c:scatterChart>
      <c:valAx>
        <c:axId val="170112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21232"/>
        <c:crosses val="autoZero"/>
        <c:crossBetween val="midCat"/>
      </c:valAx>
      <c:valAx>
        <c:axId val="170112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12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130628</xdr:rowOff>
    </xdr:from>
    <xdr:to>
      <xdr:col>7</xdr:col>
      <xdr:colOff>304800</xdr:colOff>
      <xdr:row>34</xdr:row>
      <xdr:rowOff>54427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7B181E-AD58-4682-AC0F-8CD977BBE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5</xdr:row>
      <xdr:rowOff>238125</xdr:rowOff>
    </xdr:from>
    <xdr:to>
      <xdr:col>2</xdr:col>
      <xdr:colOff>547006</xdr:colOff>
      <xdr:row>7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802A36-5794-4CD2-9991-A4074A0EE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4" y="1419225"/>
          <a:ext cx="1309007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161925</xdr:colOff>
      <xdr:row>7</xdr:row>
      <xdr:rowOff>238125</xdr:rowOff>
    </xdr:from>
    <xdr:to>
      <xdr:col>1</xdr:col>
      <xdr:colOff>714375</xdr:colOff>
      <xdr:row>9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27B68-0F0D-4020-8BAB-66D637295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2028825"/>
          <a:ext cx="5524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304800</xdr:colOff>
      <xdr:row>10</xdr:row>
      <xdr:rowOff>47625</xdr:rowOff>
    </xdr:from>
    <xdr:to>
      <xdr:col>1</xdr:col>
      <xdr:colOff>752475</xdr:colOff>
      <xdr:row>10</xdr:row>
      <xdr:rowOff>466725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74C2CE5-9B01-40B5-A840-F94CC1E6F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2638425"/>
          <a:ext cx="447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180974</xdr:colOff>
      <xdr:row>46</xdr:row>
      <xdr:rowOff>238125</xdr:rowOff>
    </xdr:from>
    <xdr:to>
      <xdr:col>2</xdr:col>
      <xdr:colOff>547006</xdr:colOff>
      <xdr:row>48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B68F738-F2E0-4410-8BB4-894A77AF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886" y="1414743"/>
          <a:ext cx="1307326" cy="443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161925</xdr:colOff>
      <xdr:row>48</xdr:row>
      <xdr:rowOff>238125</xdr:rowOff>
    </xdr:from>
    <xdr:to>
      <xdr:col>1</xdr:col>
      <xdr:colOff>714375</xdr:colOff>
      <xdr:row>50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7EC647C-B08C-48AD-8C3C-6474D92CF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837" y="2019860"/>
          <a:ext cx="552450" cy="425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304800</xdr:colOff>
      <xdr:row>51</xdr:row>
      <xdr:rowOff>47625</xdr:rowOff>
    </xdr:from>
    <xdr:to>
      <xdr:col>1</xdr:col>
      <xdr:colOff>752475</xdr:colOff>
      <xdr:row>51</xdr:row>
      <xdr:rowOff>466725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4A7FC36-9877-40E4-B3D0-FB6F3045F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712" y="2636184"/>
          <a:ext cx="4476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2846-4320-41F4-B553-845A86DE91D1}">
  <dimension ref="A1:K19"/>
  <sheetViews>
    <sheetView workbookViewId="0">
      <selection activeCell="K24" sqref="K24"/>
    </sheetView>
  </sheetViews>
  <sheetFormatPr defaultRowHeight="15" x14ac:dyDescent="0.25"/>
  <cols>
    <col min="1" max="1" width="8.7109375" customWidth="1"/>
    <col min="2" max="2" width="11.28515625" customWidth="1"/>
    <col min="3" max="3" width="11.42578125" customWidth="1"/>
    <col min="4" max="4" width="11.28515625" customWidth="1"/>
    <col min="11" max="11" width="13.28515625" customWidth="1"/>
  </cols>
  <sheetData>
    <row r="1" spans="1:11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11" x14ac:dyDescent="0.25">
      <c r="A2" s="8"/>
      <c r="B2" s="8"/>
      <c r="C2" s="8"/>
      <c r="D2" s="8"/>
      <c r="E2" s="8"/>
      <c r="F2" s="8"/>
      <c r="G2" s="8"/>
      <c r="H2" s="8"/>
    </row>
    <row r="3" spans="1:11" x14ac:dyDescent="0.25">
      <c r="A3" t="s">
        <v>1</v>
      </c>
      <c r="B3">
        <v>2</v>
      </c>
      <c r="C3">
        <v>7</v>
      </c>
      <c r="D3">
        <v>6</v>
      </c>
      <c r="E3">
        <v>9</v>
      </c>
      <c r="F3">
        <v>4</v>
      </c>
    </row>
    <row r="4" spans="1:11" x14ac:dyDescent="0.25">
      <c r="A4" t="s">
        <v>2</v>
      </c>
      <c r="B4">
        <v>2</v>
      </c>
      <c r="C4">
        <v>9</v>
      </c>
      <c r="D4">
        <v>8</v>
      </c>
      <c r="E4">
        <v>6</v>
      </c>
      <c r="F4">
        <v>5</v>
      </c>
      <c r="I4" s="9" t="s">
        <v>18</v>
      </c>
      <c r="J4" s="8"/>
    </row>
    <row r="5" spans="1:11" x14ac:dyDescent="0.25">
      <c r="J5" t="s">
        <v>19</v>
      </c>
      <c r="K5" t="s">
        <v>20</v>
      </c>
    </row>
    <row r="6" spans="1:11" x14ac:dyDescent="0.25">
      <c r="A6" s="8" t="s">
        <v>3</v>
      </c>
      <c r="B6" s="8"/>
      <c r="C6" s="8"/>
      <c r="D6" s="8"/>
      <c r="E6" s="8"/>
      <c r="F6" s="8"/>
      <c r="J6" t="s">
        <v>21</v>
      </c>
      <c r="K6" t="s">
        <v>22</v>
      </c>
    </row>
    <row r="8" spans="1:11" x14ac:dyDescent="0.25">
      <c r="A8" s="9" t="s">
        <v>4</v>
      </c>
      <c r="B8" s="8"/>
      <c r="F8" s="9" t="s">
        <v>6</v>
      </c>
      <c r="G8" s="8"/>
    </row>
    <row r="9" spans="1:11" x14ac:dyDescent="0.25">
      <c r="A9" s="8" t="s">
        <v>5</v>
      </c>
      <c r="B9" s="8"/>
      <c r="C9" s="8"/>
      <c r="D9" s="8"/>
      <c r="F9" t="s">
        <v>1</v>
      </c>
      <c r="G9" t="s">
        <v>2</v>
      </c>
    </row>
    <row r="10" spans="1:11" x14ac:dyDescent="0.25">
      <c r="A10" s="8"/>
      <c r="B10" s="8"/>
      <c r="C10" s="8"/>
      <c r="D10" s="8"/>
      <c r="F10">
        <v>2</v>
      </c>
      <c r="G10">
        <v>2</v>
      </c>
    </row>
    <row r="11" spans="1:11" x14ac:dyDescent="0.25">
      <c r="A11" s="8" t="s">
        <v>8</v>
      </c>
      <c r="B11" s="8"/>
      <c r="C11" s="8"/>
      <c r="D11" s="8"/>
      <c r="F11">
        <v>7</v>
      </c>
      <c r="G11">
        <v>9</v>
      </c>
      <c r="K11" s="2"/>
    </row>
    <row r="12" spans="1:11" x14ac:dyDescent="0.25">
      <c r="A12" s="8"/>
      <c r="B12" s="8"/>
      <c r="C12" s="8"/>
      <c r="D12" s="8"/>
      <c r="F12">
        <v>6</v>
      </c>
      <c r="G12">
        <v>8</v>
      </c>
    </row>
    <row r="13" spans="1:11" x14ac:dyDescent="0.25">
      <c r="A13" s="8">
        <v>3</v>
      </c>
      <c r="B13" s="8"/>
      <c r="C13" s="8"/>
      <c r="D13" s="8"/>
      <c r="F13">
        <v>3</v>
      </c>
      <c r="G13">
        <v>6</v>
      </c>
    </row>
    <row r="14" spans="1:11" x14ac:dyDescent="0.25">
      <c r="A14" s="8"/>
      <c r="B14" s="8"/>
      <c r="C14" s="8"/>
      <c r="D14" s="8"/>
      <c r="F14">
        <v>4</v>
      </c>
      <c r="G14">
        <v>5</v>
      </c>
    </row>
    <row r="16" spans="1:11" x14ac:dyDescent="0.25">
      <c r="F16" t="s">
        <v>7</v>
      </c>
      <c r="G16">
        <f>CORREL(F10:F14,G10:G14)</f>
        <v>0.92447345164190509</v>
      </c>
    </row>
    <row r="18" spans="1:5" x14ac:dyDescent="0.25">
      <c r="A18" s="1" t="s">
        <v>9</v>
      </c>
    </row>
    <row r="19" spans="1:5" x14ac:dyDescent="0.25">
      <c r="A19" s="8" t="s">
        <v>10</v>
      </c>
      <c r="B19" s="8"/>
      <c r="C19" s="8"/>
      <c r="D19" s="8"/>
      <c r="E19" s="8"/>
    </row>
  </sheetData>
  <mergeCells count="9">
    <mergeCell ref="A19:E19"/>
    <mergeCell ref="I4:J4"/>
    <mergeCell ref="A1:H2"/>
    <mergeCell ref="A6:F6"/>
    <mergeCell ref="A8:B8"/>
    <mergeCell ref="A9:D10"/>
    <mergeCell ref="A11:D12"/>
    <mergeCell ref="A13:D14"/>
    <mergeCell ref="F8:G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9418-610B-4438-8F31-62DA5DBBBE22}">
  <dimension ref="A2:G37"/>
  <sheetViews>
    <sheetView zoomScaleNormal="100" workbookViewId="0">
      <selection activeCell="Q25" sqref="Q25"/>
    </sheetView>
  </sheetViews>
  <sheetFormatPr defaultRowHeight="15" x14ac:dyDescent="0.25"/>
  <cols>
    <col min="4" max="4" width="15.140625" customWidth="1"/>
  </cols>
  <sheetData>
    <row r="2" spans="1:7" x14ac:dyDescent="0.25">
      <c r="B2" s="8" t="s">
        <v>11</v>
      </c>
      <c r="C2" s="8"/>
      <c r="D2" s="8"/>
      <c r="E2" s="8"/>
      <c r="F2" s="8"/>
    </row>
    <row r="3" spans="1:7" x14ac:dyDescent="0.25">
      <c r="B3" s="8"/>
      <c r="C3" s="8"/>
      <c r="D3" s="8"/>
      <c r="E3" s="8"/>
      <c r="F3" s="8"/>
    </row>
    <row r="4" spans="1:7" x14ac:dyDescent="0.25">
      <c r="B4" t="s">
        <v>1</v>
      </c>
      <c r="C4">
        <v>2</v>
      </c>
      <c r="D4">
        <v>7</v>
      </c>
      <c r="E4">
        <v>6</v>
      </c>
      <c r="F4">
        <v>9</v>
      </c>
      <c r="G4">
        <v>4</v>
      </c>
    </row>
    <row r="5" spans="1:7" x14ac:dyDescent="0.25">
      <c r="B5" t="s">
        <v>2</v>
      </c>
      <c r="C5">
        <v>2</v>
      </c>
      <c r="D5">
        <v>9</v>
      </c>
      <c r="E5">
        <v>8</v>
      </c>
      <c r="F5">
        <v>6</v>
      </c>
      <c r="G5">
        <v>5</v>
      </c>
    </row>
    <row r="7" spans="1:7" x14ac:dyDescent="0.25">
      <c r="B7" s="8" t="s">
        <v>12</v>
      </c>
      <c r="C7" s="8"/>
      <c r="D7" s="8"/>
      <c r="E7" s="8"/>
      <c r="F7" s="8"/>
      <c r="G7" s="8"/>
    </row>
    <row r="10" spans="1:7" x14ac:dyDescent="0.25">
      <c r="A10" s="9" t="s">
        <v>13</v>
      </c>
      <c r="B10" s="8"/>
      <c r="E10" s="9" t="s">
        <v>17</v>
      </c>
      <c r="F10" s="9"/>
    </row>
    <row r="11" spans="1:7" x14ac:dyDescent="0.25">
      <c r="A11" s="8" t="s">
        <v>14</v>
      </c>
      <c r="B11" s="8"/>
      <c r="C11" s="8"/>
      <c r="D11" s="8"/>
      <c r="E11" t="s">
        <v>1</v>
      </c>
      <c r="F11" t="s">
        <v>2</v>
      </c>
    </row>
    <row r="12" spans="1:7" x14ac:dyDescent="0.25">
      <c r="A12" s="8" t="s">
        <v>15</v>
      </c>
      <c r="B12" s="8"/>
      <c r="C12" s="8"/>
      <c r="D12" s="8"/>
      <c r="E12">
        <v>2</v>
      </c>
      <c r="F12">
        <v>2</v>
      </c>
    </row>
    <row r="13" spans="1:7" x14ac:dyDescent="0.25">
      <c r="A13" s="8" t="s">
        <v>16</v>
      </c>
      <c r="B13" s="8"/>
      <c r="C13" s="8"/>
      <c r="D13" s="8"/>
      <c r="E13">
        <v>7</v>
      </c>
      <c r="F13">
        <v>9</v>
      </c>
    </row>
    <row r="14" spans="1:7" x14ac:dyDescent="0.25">
      <c r="E14">
        <v>6</v>
      </c>
      <c r="F14">
        <v>8</v>
      </c>
    </row>
    <row r="15" spans="1:7" x14ac:dyDescent="0.25">
      <c r="E15">
        <v>3</v>
      </c>
      <c r="F15">
        <v>6</v>
      </c>
    </row>
    <row r="16" spans="1:7" x14ac:dyDescent="0.25">
      <c r="E16">
        <v>4</v>
      </c>
      <c r="F16">
        <v>5</v>
      </c>
    </row>
    <row r="18" spans="5:6" x14ac:dyDescent="0.25">
      <c r="E18" s="8" t="s">
        <v>23</v>
      </c>
      <c r="F18" s="8"/>
    </row>
    <row r="19" spans="5:6" x14ac:dyDescent="0.25">
      <c r="E19" s="8"/>
      <c r="F19" s="8"/>
    </row>
    <row r="20" spans="5:6" x14ac:dyDescent="0.25">
      <c r="E20" t="s">
        <v>24</v>
      </c>
      <c r="F20">
        <f>(1.22*10)+0.62</f>
        <v>12.819999999999999</v>
      </c>
    </row>
    <row r="36" spans="2:4" x14ac:dyDescent="0.25">
      <c r="B36" s="9" t="s">
        <v>9</v>
      </c>
      <c r="C36" s="8"/>
    </row>
    <row r="37" spans="2:4" x14ac:dyDescent="0.25">
      <c r="B37" s="8" t="s">
        <v>25</v>
      </c>
      <c r="C37" s="8"/>
      <c r="D37" t="s">
        <v>26</v>
      </c>
    </row>
  </sheetData>
  <mergeCells count="10">
    <mergeCell ref="A13:D13"/>
    <mergeCell ref="E10:F10"/>
    <mergeCell ref="E18:F19"/>
    <mergeCell ref="B36:C36"/>
    <mergeCell ref="B37:C37"/>
    <mergeCell ref="B2:F3"/>
    <mergeCell ref="B7:G7"/>
    <mergeCell ref="A10:B10"/>
    <mergeCell ref="A11:D11"/>
    <mergeCell ref="A12:D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71F3-EDAC-4C28-A1D6-182EE705764F}">
  <dimension ref="A1:H77"/>
  <sheetViews>
    <sheetView tabSelected="1" view="pageLayout" topLeftCell="A10" zoomScale="85" zoomScaleNormal="85" zoomScalePageLayoutView="85" workbookViewId="0">
      <selection activeCell="F26" sqref="F26"/>
    </sheetView>
  </sheetViews>
  <sheetFormatPr defaultRowHeight="15" x14ac:dyDescent="0.25"/>
  <cols>
    <col min="1" max="1" width="13.5703125" customWidth="1"/>
    <col min="2" max="2" width="13.140625" customWidth="1"/>
  </cols>
  <sheetData>
    <row r="1" spans="1:8" ht="20.25" thickBot="1" x14ac:dyDescent="0.3">
      <c r="A1" s="36" t="s">
        <v>35</v>
      </c>
    </row>
    <row r="2" spans="1:8" ht="20.25" thickBot="1" x14ac:dyDescent="0.3">
      <c r="A2" s="37" t="s">
        <v>1</v>
      </c>
      <c r="B2" s="38">
        <v>0</v>
      </c>
      <c r="C2" s="38">
        <v>1</v>
      </c>
      <c r="D2" s="38">
        <v>2</v>
      </c>
      <c r="E2" s="38">
        <v>3</v>
      </c>
      <c r="F2" s="38">
        <v>4</v>
      </c>
      <c r="G2" s="38">
        <v>5</v>
      </c>
    </row>
    <row r="3" spans="1:8" ht="20.25" thickBot="1" x14ac:dyDescent="0.3">
      <c r="A3" s="39" t="s">
        <v>27</v>
      </c>
      <c r="B3" s="40">
        <v>3</v>
      </c>
      <c r="C3" s="40">
        <v>7</v>
      </c>
      <c r="D3" s="40">
        <v>10</v>
      </c>
      <c r="E3" s="40">
        <v>15</v>
      </c>
      <c r="F3" s="40">
        <v>8</v>
      </c>
      <c r="G3" s="40">
        <v>2</v>
      </c>
    </row>
    <row r="4" spans="1:8" ht="19.5" customHeight="1" x14ac:dyDescent="0.25">
      <c r="A4" s="36"/>
      <c r="H4" s="5"/>
    </row>
    <row r="5" spans="1:8" ht="12.75" customHeight="1" x14ac:dyDescent="0.25">
      <c r="A5" s="36"/>
    </row>
    <row r="6" spans="1:8" ht="19.5" x14ac:dyDescent="0.25">
      <c r="A6" s="36" t="s">
        <v>4</v>
      </c>
    </row>
    <row r="7" spans="1:8" ht="28.5" customHeight="1" x14ac:dyDescent="0.25">
      <c r="A7" s="47">
        <v>1</v>
      </c>
      <c r="B7" s="46"/>
      <c r="C7" s="46"/>
    </row>
    <row r="8" spans="1:8" ht="21" x14ac:dyDescent="0.25">
      <c r="A8" s="41"/>
    </row>
    <row r="9" spans="1:8" ht="27" customHeight="1" x14ac:dyDescent="0.25">
      <c r="A9" s="41" t="s">
        <v>36</v>
      </c>
    </row>
    <row r="10" spans="1:8" x14ac:dyDescent="0.25">
      <c r="A10" s="42"/>
    </row>
    <row r="11" spans="1:8" ht="37.5" customHeight="1" x14ac:dyDescent="0.25">
      <c r="A11" s="43" t="s">
        <v>37</v>
      </c>
    </row>
    <row r="12" spans="1:8" ht="23.25" x14ac:dyDescent="0.25">
      <c r="A12" s="44" t="s">
        <v>38</v>
      </c>
    </row>
    <row r="13" spans="1:8" ht="21.75" x14ac:dyDescent="0.25">
      <c r="A13" s="45"/>
    </row>
    <row r="14" spans="1:8" ht="21.75" x14ac:dyDescent="0.25">
      <c r="A14" s="45"/>
    </row>
    <row r="15" spans="1:8" x14ac:dyDescent="0.25">
      <c r="B15" s="15"/>
      <c r="C15" s="16"/>
      <c r="D15" s="16"/>
      <c r="E15" s="16"/>
      <c r="F15" s="16"/>
    </row>
    <row r="16" spans="1:8" x14ac:dyDescent="0.25">
      <c r="B16" s="3"/>
      <c r="C16" s="3"/>
      <c r="D16" s="3"/>
      <c r="E16" s="3"/>
      <c r="F16" s="3"/>
    </row>
    <row r="17" spans="1:8" ht="19.5" x14ac:dyDescent="0.25">
      <c r="A17" s="4" t="s">
        <v>17</v>
      </c>
      <c r="B17" s="3"/>
      <c r="C17" s="5"/>
      <c r="D17" s="5"/>
      <c r="E17" s="5"/>
      <c r="F17" s="5"/>
    </row>
    <row r="18" spans="1:8" ht="15.75" thickBot="1" x14ac:dyDescent="0.3">
      <c r="B18" s="1"/>
    </row>
    <row r="19" spans="1:8" ht="20.25" thickBot="1" x14ac:dyDescent="0.3">
      <c r="B19" s="11" t="s">
        <v>1</v>
      </c>
      <c r="C19" s="25" t="s">
        <v>27</v>
      </c>
      <c r="D19" s="26" t="s">
        <v>28</v>
      </c>
      <c r="E19" s="26" t="s">
        <v>33</v>
      </c>
      <c r="F19" s="27" t="s">
        <v>34</v>
      </c>
    </row>
    <row r="20" spans="1:8" ht="19.5" x14ac:dyDescent="0.25">
      <c r="B20" s="10">
        <v>0</v>
      </c>
      <c r="C20" s="21">
        <v>10</v>
      </c>
      <c r="D20" s="22">
        <f>B20*C20</f>
        <v>0</v>
      </c>
      <c r="E20" s="23">
        <f>_xlfn.BINOM.DIST(B20,5,0.43,0)</f>
        <v>6.016920570000004E-2</v>
      </c>
      <c r="F20" s="24">
        <f>67*E20</f>
        <v>4.031336781900003</v>
      </c>
    </row>
    <row r="21" spans="1:8" ht="19.5" x14ac:dyDescent="0.25">
      <c r="B21" s="6">
        <v>1</v>
      </c>
      <c r="C21" s="17">
        <v>12</v>
      </c>
      <c r="D21" s="7">
        <f>B21*C21</f>
        <v>12</v>
      </c>
      <c r="E21" s="18">
        <f>_xlfn.BINOM.DIST(B21,5,0.43,0)</f>
        <v>0.22695402150000005</v>
      </c>
      <c r="F21" s="20">
        <f>67*E21</f>
        <v>15.205919440500002</v>
      </c>
    </row>
    <row r="22" spans="1:8" ht="19.5" x14ac:dyDescent="0.25">
      <c r="B22" s="6">
        <v>2</v>
      </c>
      <c r="C22" s="17">
        <v>15</v>
      </c>
      <c r="D22" s="7">
        <f>B22*C22</f>
        <v>30</v>
      </c>
      <c r="E22" s="18">
        <f>_xlfn.BINOM.DIST(B22,5,0.43,0)</f>
        <v>0.34242185699999994</v>
      </c>
      <c r="F22" s="20">
        <f>67*E22</f>
        <v>22.942264418999997</v>
      </c>
      <c r="G22" s="16"/>
      <c r="H22" s="16"/>
    </row>
    <row r="23" spans="1:8" ht="19.5" x14ac:dyDescent="0.25">
      <c r="B23" s="6">
        <v>3</v>
      </c>
      <c r="C23" s="17">
        <v>20</v>
      </c>
      <c r="D23" s="7">
        <f>B23*C23</f>
        <v>60</v>
      </c>
      <c r="E23" s="18">
        <f>_xlfn.BINOM.DIST(B23,5,0.43,0)</f>
        <v>0.25831824299999989</v>
      </c>
      <c r="F23" s="20">
        <f>67*E23</f>
        <v>17.307322280999994</v>
      </c>
      <c r="G23" s="16"/>
      <c r="H23" s="16"/>
    </row>
    <row r="24" spans="1:8" ht="19.5" x14ac:dyDescent="0.25">
      <c r="A24" s="3"/>
      <c r="B24" s="6">
        <v>4</v>
      </c>
      <c r="C24" s="17">
        <v>8</v>
      </c>
      <c r="D24" s="7">
        <f>B24*C24</f>
        <v>32</v>
      </c>
      <c r="E24" s="18">
        <f>_xlfn.BINOM.DIST(B24,5,0.43,0)</f>
        <v>9.7435828500000002E-2</v>
      </c>
      <c r="F24" s="20">
        <f>67*E24</f>
        <v>6.5282005095000004</v>
      </c>
      <c r="G24" s="3"/>
      <c r="H24" s="3"/>
    </row>
    <row r="25" spans="1:8" ht="20.25" thickBot="1" x14ac:dyDescent="0.3">
      <c r="B25" s="28">
        <v>5</v>
      </c>
      <c r="C25" s="29">
        <v>2</v>
      </c>
      <c r="D25" s="30">
        <f>B25*C25</f>
        <v>10</v>
      </c>
      <c r="E25" s="31">
        <f>_xlfn.BINOM.DIST(B25,5,0.43,0)</f>
        <v>1.4700844299999998E-2</v>
      </c>
      <c r="F25" s="32">
        <f>67*E25</f>
        <v>0.98495656809999987</v>
      </c>
      <c r="G25" s="5"/>
      <c r="H25" s="5"/>
    </row>
    <row r="26" spans="1:8" ht="15.75" thickBot="1" x14ac:dyDescent="0.3">
      <c r="B26" s="12"/>
      <c r="C26" s="26">
        <f>SUM(C20:C25)</f>
        <v>67</v>
      </c>
      <c r="D26" s="26">
        <f>SUM(D20:D25)</f>
        <v>144</v>
      </c>
      <c r="E26" s="33">
        <f>SUM(E20:E25)</f>
        <v>1</v>
      </c>
      <c r="F26" s="34">
        <f>SUM(F20:F25)</f>
        <v>67</v>
      </c>
    </row>
    <row r="29" spans="1:8" x14ac:dyDescent="0.25">
      <c r="B29" t="s">
        <v>29</v>
      </c>
      <c r="C29" s="13">
        <f>D26/C26</f>
        <v>2.1492537313432836</v>
      </c>
      <c r="D29" t="s">
        <v>32</v>
      </c>
      <c r="E29">
        <v>2.15</v>
      </c>
    </row>
    <row r="30" spans="1:8" x14ac:dyDescent="0.25">
      <c r="B30" t="s">
        <v>30</v>
      </c>
      <c r="C30" s="13">
        <f>C29/5</f>
        <v>0.42985074626865671</v>
      </c>
    </row>
    <row r="31" spans="1:8" x14ac:dyDescent="0.25">
      <c r="B31" t="s">
        <v>31</v>
      </c>
      <c r="C31" s="13">
        <f>1-C30</f>
        <v>0.57014925373134329</v>
      </c>
    </row>
    <row r="33" spans="1:8" x14ac:dyDescent="0.25">
      <c r="B33" s="14"/>
      <c r="C33" s="14"/>
      <c r="D33" s="14"/>
      <c r="E33" s="14"/>
      <c r="F33" s="14"/>
    </row>
    <row r="34" spans="1:8" x14ac:dyDescent="0.25">
      <c r="B34" s="35" t="s">
        <v>9</v>
      </c>
      <c r="C34" s="35"/>
      <c r="F34" s="13"/>
    </row>
    <row r="35" spans="1:8" x14ac:dyDescent="0.25">
      <c r="B35" s="7" t="s">
        <v>1</v>
      </c>
      <c r="C35" s="19">
        <v>0</v>
      </c>
      <c r="D35" s="19">
        <v>1</v>
      </c>
      <c r="E35" s="19">
        <v>2</v>
      </c>
      <c r="F35" s="19">
        <v>3</v>
      </c>
      <c r="G35" s="19">
        <v>4</v>
      </c>
      <c r="H35" s="19">
        <v>5</v>
      </c>
    </row>
    <row r="36" spans="1:8" x14ac:dyDescent="0.25">
      <c r="B36" s="7" t="s">
        <v>34</v>
      </c>
      <c r="C36" s="19">
        <v>4.031336781900003</v>
      </c>
      <c r="D36" s="19">
        <v>15.205919440500002</v>
      </c>
      <c r="E36" s="19">
        <v>22.942264418999997</v>
      </c>
      <c r="F36" s="19">
        <v>17.307322280999994</v>
      </c>
      <c r="G36" s="19">
        <v>6.5282005095000004</v>
      </c>
      <c r="H36" s="19">
        <v>0.98495656809999987</v>
      </c>
    </row>
    <row r="42" spans="1:8" ht="20.25" thickBot="1" x14ac:dyDescent="0.3">
      <c r="A42" s="36" t="s">
        <v>39</v>
      </c>
    </row>
    <row r="43" spans="1:8" ht="20.25" thickBot="1" x14ac:dyDescent="0.3">
      <c r="A43" s="37" t="s">
        <v>1</v>
      </c>
      <c r="B43" s="38">
        <v>0</v>
      </c>
      <c r="C43" s="38">
        <v>1</v>
      </c>
      <c r="D43" s="38">
        <v>2</v>
      </c>
      <c r="E43" s="38">
        <v>3</v>
      </c>
      <c r="F43" s="38">
        <v>4</v>
      </c>
      <c r="G43" s="38">
        <v>5</v>
      </c>
    </row>
    <row r="44" spans="1:8" ht="20.25" thickBot="1" x14ac:dyDescent="0.3">
      <c r="A44" s="39" t="s">
        <v>27</v>
      </c>
      <c r="B44" s="40">
        <v>3</v>
      </c>
      <c r="C44" s="40">
        <v>7</v>
      </c>
      <c r="D44" s="40">
        <v>10</v>
      </c>
      <c r="E44" s="40">
        <v>15</v>
      </c>
      <c r="F44" s="40">
        <v>8</v>
      </c>
      <c r="G44" s="40">
        <v>2</v>
      </c>
    </row>
    <row r="45" spans="1:8" ht="19.5" x14ac:dyDescent="0.25">
      <c r="A45" s="36"/>
      <c r="H45" s="5"/>
    </row>
    <row r="46" spans="1:8" ht="19.5" x14ac:dyDescent="0.25">
      <c r="A46" s="36"/>
    </row>
    <row r="47" spans="1:8" ht="19.5" x14ac:dyDescent="0.25">
      <c r="A47" s="36" t="s">
        <v>4</v>
      </c>
    </row>
    <row r="48" spans="1:8" ht="21" x14ac:dyDescent="0.25">
      <c r="A48" s="47">
        <v>1</v>
      </c>
      <c r="B48" s="46"/>
      <c r="C48" s="46"/>
    </row>
    <row r="49" spans="1:8" ht="21" x14ac:dyDescent="0.25">
      <c r="A49" s="41"/>
    </row>
    <row r="50" spans="1:8" ht="21" x14ac:dyDescent="0.25">
      <c r="A50" s="41" t="s">
        <v>36</v>
      </c>
    </row>
    <row r="51" spans="1:8" x14ac:dyDescent="0.25">
      <c r="A51" s="42"/>
    </row>
    <row r="52" spans="1:8" ht="19.5" x14ac:dyDescent="0.25">
      <c r="A52" s="43" t="s">
        <v>37</v>
      </c>
    </row>
    <row r="53" spans="1:8" ht="23.25" x14ac:dyDescent="0.25">
      <c r="A53" s="44" t="s">
        <v>38</v>
      </c>
    </row>
    <row r="54" spans="1:8" ht="21.75" x14ac:dyDescent="0.25">
      <c r="A54" s="45"/>
    </row>
    <row r="55" spans="1:8" ht="21.75" x14ac:dyDescent="0.25">
      <c r="A55" s="45"/>
    </row>
    <row r="56" spans="1:8" x14ac:dyDescent="0.25">
      <c r="B56" s="15"/>
      <c r="C56" s="16"/>
      <c r="D56" s="16"/>
      <c r="E56" s="16"/>
      <c r="F56" s="16"/>
    </row>
    <row r="57" spans="1:8" x14ac:dyDescent="0.25">
      <c r="B57" s="3"/>
      <c r="C57" s="3"/>
      <c r="D57" s="3"/>
      <c r="E57" s="3"/>
      <c r="F57" s="3"/>
    </row>
    <row r="58" spans="1:8" ht="19.5" x14ac:dyDescent="0.25">
      <c r="A58" s="4" t="s">
        <v>17</v>
      </c>
      <c r="B58" s="3"/>
      <c r="C58" s="5"/>
      <c r="D58" s="5"/>
      <c r="E58" s="5"/>
      <c r="F58" s="5"/>
    </row>
    <row r="59" spans="1:8" ht="15.75" thickBot="1" x14ac:dyDescent="0.3">
      <c r="B59" s="1"/>
    </row>
    <row r="60" spans="1:8" ht="20.25" thickBot="1" x14ac:dyDescent="0.3">
      <c r="B60" s="11" t="s">
        <v>1</v>
      </c>
      <c r="C60" s="25" t="s">
        <v>27</v>
      </c>
      <c r="D60" s="26" t="s">
        <v>28</v>
      </c>
      <c r="E60" s="26" t="s">
        <v>33</v>
      </c>
      <c r="F60" s="27" t="s">
        <v>34</v>
      </c>
    </row>
    <row r="61" spans="1:8" ht="19.5" x14ac:dyDescent="0.25">
      <c r="B61" s="10">
        <v>0</v>
      </c>
      <c r="C61" s="21">
        <v>10</v>
      </c>
      <c r="D61" s="22">
        <f>B61*C61</f>
        <v>0</v>
      </c>
      <c r="E61" s="23">
        <f>_xlfn.POISSON.DIST(B61,2.15,0)</f>
        <v>0.11648415777349697</v>
      </c>
      <c r="F61" s="24">
        <f>67*E61</f>
        <v>7.8044385708242965</v>
      </c>
    </row>
    <row r="62" spans="1:8" ht="19.5" x14ac:dyDescent="0.25">
      <c r="B62" s="6">
        <v>1</v>
      </c>
      <c r="C62" s="17">
        <v>12</v>
      </c>
      <c r="D62" s="7">
        <f>B62*C62</f>
        <v>12</v>
      </c>
      <c r="E62" s="23">
        <f t="shared" ref="E62:E66" si="0">_xlfn.POISSON.DIST(B62,2.15,0)</f>
        <v>0.25044093921301847</v>
      </c>
      <c r="F62" s="20">
        <f t="shared" ref="F62:F66" si="1">67*E62</f>
        <v>16.779542927272239</v>
      </c>
    </row>
    <row r="63" spans="1:8" ht="19.5" x14ac:dyDescent="0.25">
      <c r="B63" s="6">
        <v>2</v>
      </c>
      <c r="C63" s="17">
        <v>15</v>
      </c>
      <c r="D63" s="7">
        <f>B63*C63</f>
        <v>30</v>
      </c>
      <c r="E63" s="23">
        <f t="shared" si="0"/>
        <v>0.2692240096539949</v>
      </c>
      <c r="F63" s="20">
        <f t="shared" si="1"/>
        <v>18.038008646817659</v>
      </c>
      <c r="G63" s="16"/>
      <c r="H63" s="16"/>
    </row>
    <row r="64" spans="1:8" ht="19.5" x14ac:dyDescent="0.25">
      <c r="B64" s="6">
        <v>3</v>
      </c>
      <c r="C64" s="17">
        <v>20</v>
      </c>
      <c r="D64" s="7">
        <f>B64*C64</f>
        <v>60</v>
      </c>
      <c r="E64" s="23">
        <f t="shared" si="0"/>
        <v>0.19294387358536297</v>
      </c>
      <c r="F64" s="20">
        <f t="shared" si="1"/>
        <v>12.927239530219319</v>
      </c>
      <c r="G64" s="16"/>
      <c r="H64" s="16"/>
    </row>
    <row r="65" spans="1:8" ht="19.5" x14ac:dyDescent="0.25">
      <c r="A65" s="3"/>
      <c r="B65" s="6">
        <v>4</v>
      </c>
      <c r="C65" s="17">
        <v>8</v>
      </c>
      <c r="D65" s="7">
        <f>B65*C65</f>
        <v>32</v>
      </c>
      <c r="E65" s="23">
        <f t="shared" si="0"/>
        <v>0.10370733205213264</v>
      </c>
      <c r="F65" s="20">
        <f t="shared" si="1"/>
        <v>6.9483912474928875</v>
      </c>
      <c r="G65" s="3"/>
      <c r="H65" s="3"/>
    </row>
    <row r="66" spans="1:8" ht="20.25" thickBot="1" x14ac:dyDescent="0.3">
      <c r="B66" s="28">
        <v>5</v>
      </c>
      <c r="C66" s="29">
        <v>2</v>
      </c>
      <c r="D66" s="30">
        <f>B66*C66</f>
        <v>10</v>
      </c>
      <c r="E66" s="23">
        <f t="shared" si="0"/>
        <v>4.4594152782417018E-2</v>
      </c>
      <c r="F66" s="32">
        <f t="shared" si="1"/>
        <v>2.98780823642194</v>
      </c>
      <c r="G66" s="5"/>
      <c r="H66" s="5"/>
    </row>
    <row r="67" spans="1:8" ht="15.75" thickBot="1" x14ac:dyDescent="0.3">
      <c r="B67" s="12"/>
      <c r="C67" s="26">
        <f>SUM(C61:C66)</f>
        <v>67</v>
      </c>
      <c r="D67" s="26">
        <f>SUM(D61:D66)</f>
        <v>144</v>
      </c>
      <c r="E67" s="33">
        <f>SUM(E61:E66)</f>
        <v>0.97739446506042293</v>
      </c>
      <c r="F67" s="34">
        <f>SUM(F61:F66)</f>
        <v>65.485429159048337</v>
      </c>
    </row>
    <row r="70" spans="1:8" x14ac:dyDescent="0.25">
      <c r="B70" t="s">
        <v>29</v>
      </c>
      <c r="C70" s="13">
        <f>D67/C67</f>
        <v>2.1492537313432836</v>
      </c>
      <c r="D70" t="s">
        <v>32</v>
      </c>
      <c r="E70">
        <v>2.15</v>
      </c>
    </row>
    <row r="71" spans="1:8" x14ac:dyDescent="0.25">
      <c r="C71" s="13"/>
    </row>
    <row r="72" spans="1:8" x14ac:dyDescent="0.25">
      <c r="C72" s="13"/>
    </row>
    <row r="74" spans="1:8" x14ac:dyDescent="0.25">
      <c r="B74" s="14"/>
      <c r="C74" s="14"/>
      <c r="D74" s="14"/>
      <c r="E74" s="14"/>
      <c r="F74" s="14"/>
    </row>
    <row r="75" spans="1:8" x14ac:dyDescent="0.25">
      <c r="B75" s="35" t="s">
        <v>9</v>
      </c>
      <c r="C75" s="35"/>
      <c r="F75" s="13"/>
    </row>
    <row r="76" spans="1:8" x14ac:dyDescent="0.25">
      <c r="B76" s="7" t="s">
        <v>1</v>
      </c>
      <c r="C76" s="19">
        <v>0</v>
      </c>
      <c r="D76" s="19">
        <v>1</v>
      </c>
      <c r="E76" s="19">
        <v>2</v>
      </c>
      <c r="F76" s="19">
        <v>3</v>
      </c>
      <c r="G76" s="19">
        <v>4</v>
      </c>
      <c r="H76" s="19">
        <v>5</v>
      </c>
    </row>
    <row r="77" spans="1:8" x14ac:dyDescent="0.25">
      <c r="B77" s="7" t="s">
        <v>34</v>
      </c>
      <c r="C77" s="19" t="s">
        <v>34</v>
      </c>
      <c r="D77" s="19">
        <v>7.8044385708242965</v>
      </c>
      <c r="E77" s="19">
        <v>16.779542927272239</v>
      </c>
      <c r="F77" s="19">
        <v>18.038008646817659</v>
      </c>
      <c r="G77" s="19">
        <v>12.927239530219319</v>
      </c>
      <c r="H77" s="19">
        <v>6.9483912474928875</v>
      </c>
    </row>
  </sheetData>
  <mergeCells count="4">
    <mergeCell ref="B75:C75"/>
    <mergeCell ref="B34:C34"/>
    <mergeCell ref="B7:C7"/>
    <mergeCell ref="B48:C48"/>
  </mergeCells>
  <pageMargins left="0.7" right="0.7" top="0.75" bottom="0.75" header="0.3" footer="0.3"/>
  <pageSetup paperSize="9" orientation="portrait" r:id="rId1"/>
  <headerFooter>
    <oddHeader xml:space="preserve">&amp;CUjwal Parajuli&amp;R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2023-07-31T08:53:13Z</dcterms:created>
  <dcterms:modified xsi:type="dcterms:W3CDTF">2023-08-02T09:52:42Z</dcterms:modified>
</cp:coreProperties>
</file>