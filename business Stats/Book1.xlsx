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D55DE414-91B6-4FE1-835A-3BBCE412FFC5}" xr6:coauthVersionLast="47" xr6:coauthVersionMax="47" xr10:uidLastSave="{00000000-0000-0000-0000-000000000000}"/>
  <bookViews>
    <workbookView xWindow="-120" yWindow="-120" windowWidth="29040" windowHeight="15720" activeTab="3" xr2:uid="{84D76DE3-8557-4722-B5C1-4893E077E0C2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4" l="1"/>
  <c r="C22" i="4"/>
  <c r="C21" i="4"/>
  <c r="C20" i="4"/>
  <c r="F25" i="3"/>
  <c r="F24" i="3"/>
  <c r="F23" i="3"/>
  <c r="F22" i="3"/>
  <c r="F21" i="3"/>
  <c r="F20" i="3"/>
  <c r="E20" i="3"/>
  <c r="F61" i="3"/>
  <c r="E61" i="3"/>
  <c r="E62" i="3"/>
  <c r="F62" i="3" s="1"/>
  <c r="E63" i="3"/>
  <c r="E64" i="3"/>
  <c r="F64" i="3" s="1"/>
  <c r="E65" i="3"/>
  <c r="F65" i="3" s="1"/>
  <c r="E66" i="3"/>
  <c r="C67" i="3"/>
  <c r="F66" i="3"/>
  <c r="D66" i="3"/>
  <c r="D65" i="3"/>
  <c r="D64" i="3"/>
  <c r="F63" i="3"/>
  <c r="D63" i="3"/>
  <c r="D62" i="3"/>
  <c r="D61" i="3"/>
  <c r="D67" i="3" s="1"/>
  <c r="C70" i="3" s="1"/>
  <c r="C26" i="3"/>
  <c r="E25" i="3"/>
  <c r="D25" i="3"/>
  <c r="E24" i="3"/>
  <c r="D24" i="3"/>
  <c r="E23" i="3"/>
  <c r="D23" i="3"/>
  <c r="E22" i="3"/>
  <c r="D22" i="3"/>
  <c r="E21" i="3"/>
  <c r="D21" i="3"/>
  <c r="D20" i="3"/>
  <c r="F20" i="2"/>
  <c r="G16" i="1"/>
  <c r="E67" i="3" l="1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<sst xmlns="http://schemas.openxmlformats.org/spreadsheetml/2006/main" count="88" uniqueCount="54">
  <si>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</si>
  <si>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</si>
  <si>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</si>
  <si>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</si>
  <si>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</si>
  <si>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</si>
  <si>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</si>
  <si>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</si>
  <si>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</si>
  <si>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</si>
  <si>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</si>
  <si>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</si>
  <si>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</si>
  <si>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</si>
  <si>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</si>
  <si>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</si>
  <si>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</si>
  <si>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</si>
  <si>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Unicodes:</t>
  </si>
  <si>
    <t>alt+251</t>
  </si>
  <si>
    <t>square root</t>
  </si>
  <si>
    <t>alt+228</t>
  </si>
  <si>
    <t>Summation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</si>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</sst>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Sheet2!$E$12:$E$16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Sheet2!$F$12:$F$16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130628</xdr:rowOff>
    </xdr:from>
    <xdr:to>
      <xdr:col>7</xdr:col>
      <xdr:colOff>304800</xdr:colOff>
      <xdr:row>34</xdr:row>
      <xdr:rowOff>54427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10</xdr:row>
      <xdr:rowOff>28575</xdr:rowOff>
    </xdr:from>
    <xdr:to>
      <xdr:col>2</xdr:col>
      <xdr:colOff>446532</xdr:colOff>
      <xdr:row>11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AD33A6-0E52-40EA-8334-8C9478671B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276225</xdr:colOff>
      <xdr:row>12</xdr:row>
      <xdr:rowOff>19050</xdr:rowOff>
    </xdr:from>
    <xdr:to>
      <xdr:col>4</xdr:col>
      <xdr:colOff>200025</xdr:colOff>
      <xdr:row>13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373464-20ED-48CC-8BB3-7A5160ABB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3335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333375</xdr:colOff>
      <xdr:row>14</xdr:row>
      <xdr:rowOff>66675</xdr:rowOff>
    </xdr:from>
    <xdr:to>
      <xdr:col>3</xdr:col>
      <xdr:colOff>542925</xdr:colOff>
      <xdr:row>15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217B9A-B540-49BE-A339-B4016DEF69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:K19"/>
  <sheetViews>
    <sheetView workbookViewId="0">
      <selection activeCell="K24" sqref="K24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>
    <row r="1" spans="1:11" x14ac:dyDescent="0.25">
      <c r="A1" s="43" t="s">
        <v>0</v>
      </c>
      <c r="B1" s="43"/>
      <c r="C1" s="43"/>
      <c r="D1" s="43"/>
      <c r="E1" s="43"/>
      <c r="F1" s="43"/>
      <c r="G1" s="43"/>
      <c r="H1" s="43"/>
    </row>
    <row r="2" spans="1:11" x14ac:dyDescent="0.25">
      <c r="A2" s="43"/>
      <c r="B2" s="43"/>
      <c r="C2" s="43"/>
      <c r="D2" s="43"/>
      <c r="E2" s="43"/>
      <c r="F2" s="43"/>
      <c r="G2" s="43"/>
      <c r="H2" s="43"/>
    </row>
    <row r="3" spans="1:11" x14ac:dyDescent="0.25">
      <c r="A3" t="s">
        <v>1</v>
      </c>
      <c r="B3">
        <v>2</v>
      </c>
      <c r="C3">
        <v>7</v>
      </c>
      <c r="D3">
        <v>6</v>
      </c>
      <c r="E3">
        <v>9</v>
      </c>
      <c r="F3">
        <v>4</v>
      </c>
    </row>
    <row r="4" spans="1:11" x14ac:dyDescent="0.25">
      <c r="A4" t="s">
        <v>2</v>
      </c>
      <c r="B4">
        <v>2</v>
      </c>
      <c r="C4">
        <v>9</v>
      </c>
      <c r="D4">
        <v>8</v>
      </c>
      <c r="E4">
        <v>6</v>
      </c>
      <c r="F4">
        <v>5</v>
      </c>
      <c r="I4" s="44" t="s">
        <v>18</v>
      </c>
      <c r="J4" s="43"/>
    </row>
    <row r="5" spans="1:11" x14ac:dyDescent="0.25">
      <c r="J5" t="s">
        <v>19</v>
      </c>
      <c r="K5" t="s">
        <v>20</v>
      </c>
    </row>
    <row r="6" spans="1:11" x14ac:dyDescent="0.25">
      <c r="A6" s="43" t="s">
        <v>3</v>
      </c>
      <c r="B6" s="43"/>
      <c r="C6" s="43"/>
      <c r="D6" s="43"/>
      <c r="E6" s="43"/>
      <c r="F6" s="43"/>
      <c r="J6" t="s">
        <v>21</v>
      </c>
      <c r="K6" t="s">
        <v>22</v>
      </c>
    </row>
    <row r="8" spans="1:11" x14ac:dyDescent="0.25">
      <c r="A8" s="44" t="s">
        <v>4</v>
      </c>
      <c r="B8" s="43"/>
      <c r="F8" s="44" t="s">
        <v>6</v>
      </c>
      <c r="G8" s="43"/>
    </row>
    <row r="9" spans="1:11" x14ac:dyDescent="0.25">
      <c r="A9" s="43" t="s">
        <v>5</v>
      </c>
      <c r="B9" s="43"/>
      <c r="C9" s="43"/>
      <c r="D9" s="43"/>
      <c r="F9" t="s">
        <v>1</v>
      </c>
      <c r="G9" t="s">
        <v>2</v>
      </c>
    </row>
    <row r="10" spans="1:11" x14ac:dyDescent="0.25">
      <c r="A10" s="43"/>
      <c r="B10" s="43"/>
      <c r="C10" s="43"/>
      <c r="D10" s="43"/>
      <c r="F10">
        <v>2</v>
      </c>
      <c r="G10">
        <v>2</v>
      </c>
    </row>
    <row r="11" spans="1:11" x14ac:dyDescent="0.25">
      <c r="A11" s="43" t="s">
        <v>8</v>
      </c>
      <c r="B11" s="43"/>
      <c r="C11" s="43"/>
      <c r="D11" s="43"/>
      <c r="F11">
        <v>7</v>
      </c>
      <c r="G11">
        <v>9</v>
      </c>
      <c r="K11" s="2"/>
    </row>
    <row r="12" spans="1:11" x14ac:dyDescent="0.25">
      <c r="A12" s="43"/>
      <c r="B12" s="43"/>
      <c r="C12" s="43"/>
      <c r="D12" s="43"/>
      <c r="F12">
        <v>6</v>
      </c>
      <c r="G12">
        <v>8</v>
      </c>
    </row>
    <row r="13" spans="1:11" x14ac:dyDescent="0.25">
      <c r="A13" s="43">
        <v>3</v>
      </c>
      <c r="B13" s="43"/>
      <c r="C13" s="43"/>
      <c r="D13" s="43"/>
      <c r="F13">
        <v>3</v>
      </c>
      <c r="G13">
        <v>6</v>
      </c>
    </row>
    <row r="14" spans="1:11" x14ac:dyDescent="0.25">
      <c r="A14" s="43"/>
      <c r="B14" s="43"/>
      <c r="C14" s="43"/>
      <c r="D14" s="43"/>
      <c r="F14">
        <v>4</v>
      </c>
      <c r="G14">
        <v>5</v>
      </c>
    </row>
    <row r="16" spans="1:11" x14ac:dyDescent="0.25">
      <c r="F16" t="s">
        <v>7</v>
      </c>
      <c r="G16">
        <f>CORREL(F10:F14,G10:G14)</f>
        <v>0.92447345164190509</v>
      </c>
    </row>
    <row r="18" spans="1:5" x14ac:dyDescent="0.25">
      <c r="A18" s="1" t="s">
        <v>9</v>
      </c>
    </row>
    <row r="19" spans="1:5" x14ac:dyDescent="0.25">
      <c r="A19" s="43" t="s">
        <v>10</v>
      </c>
      <c r="B19" s="43"/>
      <c r="C19" s="43"/>
      <c r="D19" s="43"/>
      <c r="E19" s="43"/>
    </row>
  </sheetData>
  <mergeCells count="9">
    <mergeCell ref="A19:E19"/>
    <mergeCell ref="I4:J4"/>
    <mergeCell ref="A1:H2"/>
    <mergeCell ref="A6:F6"/>
    <mergeCell ref="A8:B8"/>
    <mergeCell ref="A9:D10"/>
    <mergeCell ref="A11:D12"/>
    <mergeCell ref="A13:D14"/>
    <mergeCell ref="F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2:G37"/>
  <sheetViews>
    <sheetView zoomScaleNormal="100" workbookViewId="0">
      <selection activeCell="Q25" sqref="Q25"/>
    </sheetView>
  </sheetViews>
  <sheetFormatPr defaultRowHeight="15" x14ac:dyDescent="0.25"/>
  <cols>
    <col min="4" max="4" width="15.140625" customWidth="1"/>
  </cols>
  <sheetData>
    <row r="2" spans="1:7" x14ac:dyDescent="0.25">
      <c r="B2" s="43" t="s">
        <v>11</v>
      </c>
      <c r="C2" s="43"/>
      <c r="D2" s="43"/>
      <c r="E2" s="43"/>
      <c r="F2" s="43"/>
    </row>
    <row r="3" spans="1:7" x14ac:dyDescent="0.25">
      <c r="B3" s="43"/>
      <c r="C3" s="43"/>
      <c r="D3" s="43"/>
      <c r="E3" s="43"/>
      <c r="F3" s="43"/>
    </row>
    <row r="4" spans="1:7" x14ac:dyDescent="0.25">
      <c r="B4" t="s">
        <v>1</v>
      </c>
      <c r="C4">
        <v>2</v>
      </c>
      <c r="D4">
        <v>7</v>
      </c>
      <c r="E4">
        <v>6</v>
      </c>
      <c r="F4">
        <v>9</v>
      </c>
      <c r="G4">
        <v>4</v>
      </c>
    </row>
    <row r="5" spans="1:7" x14ac:dyDescent="0.25">
      <c r="B5" t="s">
        <v>2</v>
      </c>
      <c r="C5">
        <v>2</v>
      </c>
      <c r="D5">
        <v>9</v>
      </c>
      <c r="E5">
        <v>8</v>
      </c>
      <c r="F5">
        <v>6</v>
      </c>
      <c r="G5">
        <v>5</v>
      </c>
    </row>
    <row r="7" spans="1:7" x14ac:dyDescent="0.25">
      <c r="B7" s="43" t="s">
        <v>12</v>
      </c>
      <c r="C7" s="43"/>
      <c r="D7" s="43"/>
      <c r="E7" s="43"/>
      <c r="F7" s="43"/>
      <c r="G7" s="43"/>
    </row>
    <row r="10" spans="1:7" x14ac:dyDescent="0.25">
      <c r="A10" s="44" t="s">
        <v>13</v>
      </c>
      <c r="B10" s="43"/>
      <c r="E10" s="44" t="s">
        <v>17</v>
      </c>
      <c r="F10" s="44"/>
    </row>
    <row r="11" spans="1:7" x14ac:dyDescent="0.25">
      <c r="A11" s="43" t="s">
        <v>14</v>
      </c>
      <c r="B11" s="43"/>
      <c r="C11" s="43"/>
      <c r="D11" s="43"/>
      <c r="E11" t="s">
        <v>1</v>
      </c>
      <c r="F11" t="s">
        <v>2</v>
      </c>
    </row>
    <row r="12" spans="1:7" x14ac:dyDescent="0.25">
      <c r="A12" s="43" t="s">
        <v>15</v>
      </c>
      <c r="B12" s="43"/>
      <c r="C12" s="43"/>
      <c r="D12" s="43"/>
      <c r="E12">
        <v>2</v>
      </c>
      <c r="F12">
        <v>2</v>
      </c>
    </row>
    <row r="13" spans="1:7" x14ac:dyDescent="0.25">
      <c r="A13" s="43" t="s">
        <v>16</v>
      </c>
      <c r="B13" s="43"/>
      <c r="C13" s="43"/>
      <c r="D13" s="43"/>
      <c r="E13">
        <v>7</v>
      </c>
      <c r="F13">
        <v>9</v>
      </c>
    </row>
    <row r="14" spans="1:7" x14ac:dyDescent="0.25">
      <c r="E14">
        <v>6</v>
      </c>
      <c r="F14">
        <v>8</v>
      </c>
    </row>
    <row r="15" spans="1:7" x14ac:dyDescent="0.25">
      <c r="E15">
        <v>3</v>
      </c>
      <c r="F15">
        <v>6</v>
      </c>
    </row>
    <row r="16" spans="1:7" x14ac:dyDescent="0.25">
      <c r="E16">
        <v>4</v>
      </c>
      <c r="F16">
        <v>5</v>
      </c>
    </row>
    <row r="18" spans="5:6" x14ac:dyDescent="0.25">
      <c r="E18" s="43" t="s">
        <v>23</v>
      </c>
      <c r="F18" s="43"/>
    </row>
    <row r="19" spans="5:6" x14ac:dyDescent="0.25">
      <c r="E19" s="43"/>
      <c r="F19" s="43"/>
    </row>
    <row r="20" spans="5:6" x14ac:dyDescent="0.25">
      <c r="E20" t="s">
        <v>24</v>
      </c>
      <c r="F20">
        <f>(1.22*10)+0.62</f>
        <v>12.819999999999999</v>
      </c>
    </row>
    <row r="36" spans="2:4" x14ac:dyDescent="0.25">
      <c r="B36" s="44" t="s">
        <v>9</v>
      </c>
      <c r="C36" s="43"/>
    </row>
    <row r="37" spans="2:4" x14ac:dyDescent="0.25">
      <c r="B37" s="43" t="s">
        <v>25</v>
      </c>
      <c r="C37" s="43"/>
      <c r="D37" t="s">
        <v>26</v>
      </c>
    </row>
  </sheetData>
  <mergeCells count="10">
    <mergeCell ref="A13:D13"/>
    <mergeCell ref="E10:F10"/>
    <mergeCell ref="E18:F19"/>
    <mergeCell ref="B36:C36"/>
    <mergeCell ref="B37:C37"/>
    <mergeCell ref="B2:F3"/>
    <mergeCell ref="B7:G7"/>
    <mergeCell ref="A10:B10"/>
    <mergeCell ref="A11:D11"/>
    <mergeCell ref="A12:D12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H77"/>
  <sheetViews>
    <sheetView view="pageLayout" zoomScale="85" zoomScaleNormal="85" zoomScalePageLayoutView="85" workbookViewId="0">
      <selection activeCell="F26" sqref="F26"/>
    </sheetView>
  </sheetViews>
  <sheetFormatPr defaultRowHeight="15" x14ac:dyDescent="0.25"/>
  <cols>
    <col min="1" max="1" width="13.5703125" customWidth="1"/>
    <col min="2" max="2" width="13.140625" customWidth="1"/>
  </cols>
  <sheetData>
    <row r="1" spans="1:8" ht="20.25" thickBot="1" x14ac:dyDescent="0.3">
      <c r="A1" s="31" t="s">
        <v>35</v>
      </c>
    </row>
    <row r="2" spans="1:8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8" ht="20.25" thickBot="1" x14ac:dyDescent="0.3">
      <c r="A3" s="34" t="s">
        <v>27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8" ht="19.5" customHeight="1" x14ac:dyDescent="0.25">
      <c r="A4" s="31"/>
      <c r="H4" s="5"/>
    </row>
    <row r="5" spans="1:8" ht="12.75" customHeight="1" x14ac:dyDescent="0.25">
      <c r="A5" s="31"/>
    </row>
    <row r="6" spans="1:8" ht="19.5" x14ac:dyDescent="0.25">
      <c r="A6" s="31" t="s">
        <v>4</v>
      </c>
    </row>
    <row r="7" spans="1:8" ht="28.5" customHeight="1" x14ac:dyDescent="0.25">
      <c r="A7" s="41">
        <v>1</v>
      </c>
      <c r="B7" s="46"/>
      <c r="C7" s="46"/>
    </row>
    <row r="8" spans="1:8" ht="21" x14ac:dyDescent="0.25">
      <c r="A8" s="36"/>
    </row>
    <row r="9" spans="1:8" ht="27" customHeight="1" x14ac:dyDescent="0.25">
      <c r="A9" s="36" t="s">
        <v>36</v>
      </c>
    </row>
    <row r="10" spans="1:8" x14ac:dyDescent="0.25">
      <c r="A10" s="37"/>
    </row>
    <row r="11" spans="1:8" ht="37.5" customHeight="1" x14ac:dyDescent="0.25">
      <c r="A11" s="38" t="s">
        <v>37</v>
      </c>
    </row>
    <row r="12" spans="1:8" ht="23.25" x14ac:dyDescent="0.25">
      <c r="A12" s="39" t="s">
        <v>38</v>
      </c>
    </row>
    <row r="13" spans="1:8" ht="21.75" x14ac:dyDescent="0.25">
      <c r="A13" s="40"/>
    </row>
    <row r="14" spans="1:8" ht="21.75" x14ac:dyDescent="0.25">
      <c r="A14" s="40"/>
    </row>
    <row r="15" spans="1:8" x14ac:dyDescent="0.25">
      <c r="C15" s="12"/>
      <c r="D15" s="12"/>
      <c r="E15" s="12"/>
      <c r="F15" s="12"/>
    </row>
    <row r="16" spans="1:8" x14ac:dyDescent="0.25">
      <c r="B16" s="3"/>
      <c r="C16" s="3"/>
      <c r="D16" s="3"/>
      <c r="E16" s="3"/>
      <c r="F16" s="3"/>
    </row>
    <row r="17" spans="1:8" ht="19.5" x14ac:dyDescent="0.25">
      <c r="A17" s="4" t="s">
        <v>17</v>
      </c>
      <c r="B17" s="3"/>
      <c r="C17" s="5"/>
      <c r="D17" s="5"/>
      <c r="E17" s="5"/>
      <c r="F17" s="5"/>
    </row>
    <row r="18" spans="1:8" ht="15.75" thickBot="1" x14ac:dyDescent="0.3">
      <c r="B18" s="1"/>
    </row>
    <row r="19" spans="1:8" ht="20.25" thickBot="1" x14ac:dyDescent="0.3">
      <c r="B19" s="9" t="s">
        <v>1</v>
      </c>
      <c r="C19" s="21" t="s">
        <v>27</v>
      </c>
      <c r="D19" s="22" t="s">
        <v>28</v>
      </c>
      <c r="E19" s="22" t="s">
        <v>33</v>
      </c>
      <c r="F19" s="23" t="s">
        <v>34</v>
      </c>
    </row>
    <row r="20" spans="1:8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</row>
    <row r="21" spans="1:8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</row>
    <row r="22" spans="1:8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</row>
    <row r="23" spans="1:8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</row>
    <row r="24" spans="1:8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</row>
    <row r="25" spans="1:8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8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8" x14ac:dyDescent="0.25">
      <c r="B29" t="s">
        <v>29</v>
      </c>
      <c r="C29" s="11">
        <f>D26/C26</f>
        <v>2.1492537313432836</v>
      </c>
      <c r="D29" t="s">
        <v>32</v>
      </c>
      <c r="E29">
        <v>2.15</v>
      </c>
    </row>
    <row r="30" spans="1:8" x14ac:dyDescent="0.25">
      <c r="B30" t="s">
        <v>30</v>
      </c>
      <c r="C30" s="11">
        <f>C29/5</f>
        <v>0.42985074626865671</v>
      </c>
    </row>
    <row r="31" spans="1:8" x14ac:dyDescent="0.25">
      <c r="B31" t="s">
        <v>31</v>
      </c>
      <c r="C31" s="11">
        <f>1-C30</f>
        <v>0.57014925373134329</v>
      </c>
    </row>
    <row r="34" spans="1:8" x14ac:dyDescent="0.25">
      <c r="B34" s="45" t="s">
        <v>9</v>
      </c>
      <c r="C34" s="45"/>
      <c r="F34" s="11"/>
    </row>
    <row r="35" spans="1:8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8" x14ac:dyDescent="0.25">
      <c r="B36" s="7" t="s">
        <v>34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8" ht="20.25" thickBot="1" x14ac:dyDescent="0.3">
      <c r="A42" s="31" t="s">
        <v>39</v>
      </c>
    </row>
    <row r="43" spans="1:8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8" ht="20.25" thickBot="1" x14ac:dyDescent="0.3">
      <c r="A44" s="34" t="s">
        <v>27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8" ht="19.5" x14ac:dyDescent="0.25">
      <c r="A45" s="31"/>
      <c r="H45" s="5"/>
    </row>
    <row r="46" spans="1:8" ht="19.5" x14ac:dyDescent="0.25">
      <c r="A46" s="31"/>
    </row>
    <row r="47" spans="1:8" ht="19.5" x14ac:dyDescent="0.25">
      <c r="A47" s="31" t="s">
        <v>4</v>
      </c>
    </row>
    <row r="48" spans="1:8" ht="21" x14ac:dyDescent="0.25">
      <c r="A48" s="41">
        <v>1</v>
      </c>
      <c r="B48" s="46"/>
      <c r="C48" s="46"/>
    </row>
    <row r="49" spans="1:8" ht="21" x14ac:dyDescent="0.25">
      <c r="A49" s="36"/>
    </row>
    <row r="50" spans="1:8" ht="21" x14ac:dyDescent="0.25">
      <c r="A50" s="36" t="s">
        <v>36</v>
      </c>
    </row>
    <row r="51" spans="1:8" x14ac:dyDescent="0.25">
      <c r="A51" s="37"/>
    </row>
    <row r="52" spans="1:8" ht="19.5" x14ac:dyDescent="0.25">
      <c r="A52" s="38" t="s">
        <v>37</v>
      </c>
    </row>
    <row r="53" spans="1:8" ht="23.25" x14ac:dyDescent="0.25">
      <c r="A53" s="39" t="s">
        <v>38</v>
      </c>
    </row>
    <row r="54" spans="1:8" ht="21.75" x14ac:dyDescent="0.25">
      <c r="A54" s="40"/>
    </row>
    <row r="55" spans="1:8" ht="21.75" x14ac:dyDescent="0.25">
      <c r="A55" s="40"/>
    </row>
    <row r="56" spans="1:8" x14ac:dyDescent="0.25">
      <c r="C56" s="12"/>
      <c r="D56" s="12"/>
      <c r="E56" s="12"/>
      <c r="F56" s="12"/>
    </row>
    <row r="57" spans="1:8" x14ac:dyDescent="0.25">
      <c r="B57" s="3"/>
      <c r="C57" s="3"/>
      <c r="D57" s="3"/>
      <c r="E57" s="3"/>
      <c r="F57" s="3"/>
    </row>
    <row r="58" spans="1:8" ht="19.5" x14ac:dyDescent="0.25">
      <c r="A58" s="4" t="s">
        <v>17</v>
      </c>
      <c r="B58" s="3"/>
      <c r="C58" s="5"/>
      <c r="D58" s="5"/>
      <c r="E58" s="5"/>
      <c r="F58" s="5"/>
    </row>
    <row r="59" spans="1:8" ht="15.75" thickBot="1" x14ac:dyDescent="0.3">
      <c r="B59" s="1"/>
    </row>
    <row r="60" spans="1:8" ht="20.25" thickBot="1" x14ac:dyDescent="0.3">
      <c r="B60" s="9" t="s">
        <v>1</v>
      </c>
      <c r="C60" s="21" t="s">
        <v>27</v>
      </c>
      <c r="D60" s="22" t="s">
        <v>28</v>
      </c>
      <c r="E60" s="22" t="s">
        <v>33</v>
      </c>
      <c r="F60" s="23" t="s">
        <v>34</v>
      </c>
    </row>
    <row r="61" spans="1:8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</row>
    <row r="62" spans="1:8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</row>
    <row r="63" spans="1:8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</row>
    <row r="64" spans="1:8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</row>
    <row r="65" spans="1:8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8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</row>
    <row r="67" spans="1:8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</row>
    <row r="70" spans="1:8" x14ac:dyDescent="0.25">
      <c r="B70" t="s">
        <v>29</v>
      </c>
      <c r="C70" s="11">
        <f>D67/C67</f>
        <v>2.1492537313432836</v>
      </c>
      <c r="D70" t="s">
        <v>32</v>
      </c>
      <c r="E70">
        <v>2.15</v>
      </c>
    </row>
    <row r="71" spans="1:8" x14ac:dyDescent="0.25">
      <c r="C71" s="11"/>
    </row>
    <row r="72" spans="1:8" x14ac:dyDescent="0.25">
      <c r="C72" s="11"/>
    </row>
    <row r="75" spans="1:8" x14ac:dyDescent="0.25">
      <c r="B75" s="45" t="s">
        <v>9</v>
      </c>
      <c r="C75" s="45"/>
      <c r="F75" s="11"/>
    </row>
    <row r="76" spans="1:8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8" x14ac:dyDescent="0.25">
      <c r="B77" s="7" t="s">
        <v>34</v>
      </c>
      <c r="C77" s="15" t="s">
        <v>34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</sheetData>
  <mergeCells count="4">
    <mergeCell ref="B75:C75"/>
    <mergeCell ref="B34:C34"/>
    <mergeCell ref="B7:C7"/>
    <mergeCell ref="B48:C48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78FA-1A72-4D50-BCE6-1E804DF4C344}">
  <dimension ref="B3:E23"/>
  <sheetViews>
    <sheetView tabSelected="1" zoomScale="70" zoomScaleNormal="70" workbookViewId="0">
      <selection activeCell="D26" sqref="D26"/>
    </sheetView>
  </sheetViews>
  <sheetFormatPr defaultRowHeight="15" x14ac:dyDescent="0.25"/>
  <cols>
    <col min="2" max="2" width="15.5703125" customWidth="1"/>
    <col min="3" max="4" width="12" bestFit="1" customWidth="1"/>
  </cols>
  <sheetData>
    <row r="3" spans="2:5" x14ac:dyDescent="0.25">
      <c r="B3" s="42" t="s">
        <v>40</v>
      </c>
    </row>
    <row r="4" spans="2:5" x14ac:dyDescent="0.25">
      <c r="B4" s="42" t="s">
        <v>41</v>
      </c>
    </row>
    <row r="5" spans="2:5" x14ac:dyDescent="0.25">
      <c r="B5" s="47" t="s">
        <v>42</v>
      </c>
      <c r="C5" s="47"/>
      <c r="D5" s="47"/>
      <c r="E5" s="47"/>
    </row>
    <row r="6" spans="2:5" x14ac:dyDescent="0.25">
      <c r="B6" s="47" t="s">
        <v>43</v>
      </c>
      <c r="C6" s="47"/>
      <c r="D6" s="47"/>
      <c r="E6" s="47"/>
    </row>
    <row r="7" spans="2:5" x14ac:dyDescent="0.25">
      <c r="B7" s="47" t="s">
        <v>44</v>
      </c>
      <c r="C7" s="47"/>
      <c r="D7" s="47"/>
      <c r="E7" s="47"/>
    </row>
    <row r="8" spans="2:5" x14ac:dyDescent="0.25">
      <c r="B8" s="47" t="s">
        <v>51</v>
      </c>
      <c r="C8" s="47"/>
      <c r="D8" s="47"/>
      <c r="E8" s="47"/>
    </row>
    <row r="10" spans="2:5" x14ac:dyDescent="0.25">
      <c r="B10" s="44" t="s">
        <v>47</v>
      </c>
      <c r="C10" s="43"/>
      <c r="D10" s="43"/>
    </row>
    <row r="11" spans="2:5" x14ac:dyDescent="0.25">
      <c r="B11" s="47" t="s">
        <v>53</v>
      </c>
      <c r="C11" s="47"/>
      <c r="D11" s="47"/>
      <c r="E11" s="47"/>
    </row>
    <row r="12" spans="2:5" x14ac:dyDescent="0.25">
      <c r="B12" s="47"/>
      <c r="C12" s="47"/>
      <c r="D12" s="47"/>
      <c r="E12" s="47"/>
    </row>
    <row r="13" spans="2:5" x14ac:dyDescent="0.25">
      <c r="B13" s="47" t="s">
        <v>52</v>
      </c>
      <c r="C13" s="48"/>
      <c r="D13" s="48"/>
      <c r="E13" s="48"/>
    </row>
    <row r="14" spans="2:5" x14ac:dyDescent="0.25">
      <c r="B14" s="47"/>
      <c r="C14" s="48"/>
      <c r="D14" s="48"/>
      <c r="E14" s="48"/>
    </row>
    <row r="15" spans="2:5" x14ac:dyDescent="0.25">
      <c r="B15" s="43"/>
      <c r="C15" s="47"/>
      <c r="D15" s="47"/>
      <c r="E15" s="47"/>
    </row>
    <row r="16" spans="2:5" x14ac:dyDescent="0.25">
      <c r="B16" s="43"/>
      <c r="C16" s="47"/>
      <c r="D16" s="47"/>
      <c r="E16" s="47"/>
    </row>
    <row r="18" spans="2:3" x14ac:dyDescent="0.25">
      <c r="B18" t="s">
        <v>29</v>
      </c>
      <c r="C18">
        <v>75</v>
      </c>
    </row>
    <row r="19" spans="2:3" x14ac:dyDescent="0.25">
      <c r="B19" t="s">
        <v>45</v>
      </c>
      <c r="C19">
        <v>4</v>
      </c>
    </row>
    <row r="20" spans="2:3" x14ac:dyDescent="0.25">
      <c r="B20" t="s">
        <v>46</v>
      </c>
      <c r="C20">
        <f>NORMDIST(60,75,4,1)</f>
        <v>8.841728520080376E-5</v>
      </c>
    </row>
    <row r="21" spans="2:3" x14ac:dyDescent="0.25">
      <c r="B21" t="s">
        <v>48</v>
      </c>
      <c r="C21">
        <f>1-NORMDIST(65,75,4,1)</f>
        <v>0.99379033467422384</v>
      </c>
    </row>
    <row r="22" spans="2:3" x14ac:dyDescent="0.25">
      <c r="B22" t="s">
        <v>49</v>
      </c>
      <c r="C22">
        <f>NORMDIST(90,75,4,1)-NORMDIST(80,75,4,1)</f>
        <v>0.10556135638165443</v>
      </c>
    </row>
    <row r="23" spans="2:3" x14ac:dyDescent="0.25">
      <c r="B23" t="s">
        <v>50</v>
      </c>
      <c r="C23">
        <f>NORMDIST(84,75,4,1)-NORMDIST(60,75,4,1)</f>
        <v>0.98768711005975451</v>
      </c>
    </row>
  </sheetData>
  <mergeCells count="10">
    <mergeCell ref="B5:E5"/>
    <mergeCell ref="B6:E6"/>
    <mergeCell ref="B7:E7"/>
    <mergeCell ref="B8:E8"/>
    <mergeCell ref="B10:D10"/>
    <mergeCell ref="B15:B16"/>
    <mergeCell ref="C15:E16"/>
    <mergeCell ref="B11:E12"/>
    <mergeCell ref="B13:B14"/>
    <mergeCell ref="C13:E1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2023-08-10T09:17:49Z</dcterms:modified>
</cp:coreProperties>
</file>