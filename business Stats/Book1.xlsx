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Ujwal\git\business Stats\"/>
    </mc:Choice>
  </mc:AlternateContent>
  <xr:revisionPtr revIDLastSave="0" documentId="13_ncr:1_{EA68C356-FBA2-4F64-ACD6-C46FC28182DD}" xr6:coauthVersionLast="47" xr6:coauthVersionMax="47" xr10:uidLastSave="{00000000-0000-0000-0000-000000000000}"/>
  <bookViews>
    <workbookView xWindow="-120" yWindow="-120" windowWidth="29040" windowHeight="15720" activeTab="2" xr2:uid="{84D76DE3-8557-4722-B5C1-4893E077E0C2}"/>
  </bookViews>
  <sheets>
    <sheet name="Sheet1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4" i="3" l="1"/>
  <c r="F9" i="3"/>
  <c r="F10" i="3"/>
  <c r="F11" i="3"/>
  <c r="F12" i="3"/>
  <c r="F13" i="3"/>
  <c r="F8" i="3"/>
  <c r="C14" i="3"/>
  <c r="E14" i="3"/>
  <c r="E9" i="3"/>
  <c r="E10" i="3"/>
  <c r="E11" i="3"/>
  <c r="E12" i="3"/>
  <c r="E13" i="3"/>
  <c r="E8" i="3"/>
  <c r="D9" i="3"/>
  <c r="D10" i="3"/>
  <c r="D11" i="3"/>
  <c r="D12" i="3"/>
  <c r="D13" i="3"/>
  <c r="D8" i="3"/>
  <c r="F20" i="2"/>
  <c r="G16" i="1"/>
  <c r="D14" i="3" l="1"/>
  <c r="C17" i="3" s="1"/>
  <c r="C18" i="3" l="1"/>
  <c r="C19" i="3" s="1"/>
</calcChain>
</file>

<file path=xl/sharedStrings.xml><?xml version="1.0" encoding="utf-8"?>
<sst xmlns="http://schemas.openxmlformats.org/spreadsheetml/2006/main" count="47" uniqueCount="35">
  <si>
    <t>Calculate the correlation of the following data</t>
  </si>
  <si>
    <t>x</t>
  </si>
  <si>
    <t>y</t>
  </si>
  <si>
    <t>Also write the correlation coefficient</t>
  </si>
  <si>
    <t>Working Expression:</t>
  </si>
  <si>
    <t>1correlation(x,y)=cov(x,y)/v(x)^-2*v(y)^-2</t>
  </si>
  <si>
    <t>calculation:</t>
  </si>
  <si>
    <t>r(x,y)</t>
  </si>
  <si>
    <t>r(xy)=nΣxy-ΣxΣy/(nΣx62))^-2(nΣy^2-(Σy)^2)^-2</t>
  </si>
  <si>
    <t>Conclusion:</t>
  </si>
  <si>
    <t>Since r(x,y)&gt;0 the correlation is Highly positive</t>
  </si>
  <si>
    <t>Fit the following data on the regression of y on x</t>
  </si>
  <si>
    <t>Also fin dout the value when x=10</t>
  </si>
  <si>
    <t>Working Experssion:</t>
  </si>
  <si>
    <t>1.y=a+bx</t>
  </si>
  <si>
    <t>2.ey=na+bΣx</t>
  </si>
  <si>
    <t>3.Σxy=aΣx+bΣx^2</t>
  </si>
  <si>
    <t>Calculation:</t>
  </si>
  <si>
    <t>Unicodes:</t>
  </si>
  <si>
    <t>alt+251</t>
  </si>
  <si>
    <t>square root</t>
  </si>
  <si>
    <t>alt+228</t>
  </si>
  <si>
    <t>Summation</t>
  </si>
  <si>
    <t>When x=10,then</t>
  </si>
  <si>
    <t>y=</t>
  </si>
  <si>
    <t>Regression equation</t>
  </si>
  <si>
    <t>1.2209x+0.6279</t>
  </si>
  <si>
    <t>f</t>
  </si>
  <si>
    <t>fx</t>
  </si>
  <si>
    <t>mean</t>
  </si>
  <si>
    <t>p</t>
  </si>
  <si>
    <t>q</t>
  </si>
  <si>
    <t>np</t>
  </si>
  <si>
    <t>p(x)</t>
  </si>
  <si>
    <t>EF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</si>
</sst>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0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5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3" fillId="0" borderId="3" xfId="0" applyFont="1" applyBorder="1" applyAlignment="1">
      <alignment vertical="center" wrapText="1"/>
    </xf>
    <xf numFmtId="0" fontId="3" fillId="0" borderId="4" xfId="0" applyFont="1" applyBorder="1" applyAlignment="1">
      <alignment vertical="center" wrapText="1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3" fillId="0" borderId="6" xfId="0" applyFont="1" applyBorder="1" applyAlignment="1">
      <alignment vertical="center" wrapText="1"/>
    </xf>
    <xf numFmtId="0" fontId="3" fillId="0" borderId="7" xfId="0" applyFont="1" applyBorder="1" applyAlignment="1">
      <alignment vertical="center" wrapText="1"/>
    </xf>
    <xf numFmtId="0" fontId="0" fillId="0" borderId="8" xfId="0" applyBorder="1"/>
    <xf numFmtId="0" fontId="3" fillId="0" borderId="9" xfId="0" applyFont="1" applyBorder="1" applyAlignment="1">
      <alignment vertical="center" wrapText="1"/>
    </xf>
    <xf numFmtId="0" fontId="3" fillId="0" borderId="10" xfId="0" applyFont="1" applyBorder="1" applyAlignment="1">
      <alignment vertical="center" wrapText="1"/>
    </xf>
    <xf numFmtId="0" fontId="0" fillId="0" borderId="11" xfId="0" applyBorder="1"/>
    <xf numFmtId="0" fontId="0" fillId="0" borderId="12" xfId="0" applyBorder="1"/>
    <xf numFmtId="0" fontId="0" fillId="0" borderId="9" xfId="0" applyBorder="1"/>
    <xf numFmtId="165" fontId="0" fillId="0" borderId="0" xfId="0" applyNumberFormat="1"/>
    <xf numFmtId="2" fontId="0" fillId="0" borderId="0" xfId="0" applyNumberFormat="1"/>
    <xf numFmtId="0" fontId="0" fillId="0" borderId="5" xfId="0" applyBorder="1"/>
    <xf numFmtId="0" fontId="0" fillId="0" borderId="0" xfId="0" applyAlignment="1"/>
    <xf numFmtId="165" fontId="0" fillId="0" borderId="14" xfId="0" applyNumberFormat="1" applyBorder="1"/>
    <xf numFmtId="165" fontId="0" fillId="0" borderId="13" xfId="0" applyNumberFormat="1" applyBorder="1"/>
    <xf numFmtId="165" fontId="0" fillId="0" borderId="15" xfId="0" applyNumberFormat="1" applyBorder="1"/>
    <xf numFmtId="0" fontId="0" fillId="0" borderId="5" xfId="0" applyFill="1" applyBorder="1"/>
    <xf numFmtId="1" fontId="0" fillId="0" borderId="14" xfId="0" applyNumberFormat="1" applyBorder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Sheet2!$E$12:$E$16</c:f>
              <c:numCache>
                <c:formatCode>General</c:formatCode>
                <c:ptCount val="5"/>
                <c:pt idx="0">
                  <c:v>2</c:v>
                </c:pt>
                <c:pt idx="1">
                  <c:v>7</c:v>
                </c:pt>
                <c:pt idx="2">
                  <c:v>6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Sheet2!$F$12:$F$16</c:f>
              <c:numCache>
                <c:formatCode>General</c:formatCode>
                <c:ptCount val="5"/>
                <c:pt idx="0">
                  <c:v>2</c:v>
                </c:pt>
                <c:pt idx="1">
                  <c:v>9</c:v>
                </c:pt>
                <c:pt idx="2">
                  <c:v>8</c:v>
                </c:pt>
                <c:pt idx="3">
                  <c:v>6</c:v>
                </c:pt>
                <c:pt idx="4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3B8-462E-BF70-EF03FA7C94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01122064"/>
        <c:axId val="1701121232"/>
      </c:scatterChart>
      <c:valAx>
        <c:axId val="17011220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1121232"/>
        <c:crosses val="autoZero"/>
        <c:crossBetween val="midCat"/>
      </c:valAx>
      <c:valAx>
        <c:axId val="1701121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11220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20</xdr:row>
      <xdr:rowOff>130628</xdr:rowOff>
    </xdr:from>
    <xdr:to>
      <xdr:col>7</xdr:col>
      <xdr:colOff>304800</xdr:colOff>
      <xdr:row>34</xdr:row>
      <xdr:rowOff>54427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37B181E-AD58-4682-AC0F-8CD977BBE4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72846-4320-41F4-B553-845A86DE91D1}">
  <dimension ref="A1:K19"/>
  <sheetViews>
    <sheetView workbookViewId="0">
      <selection activeCell="K24" sqref="K24"/>
    </sheetView>
  </sheetViews>
  <sheetFormatPr defaultRowHeight="15" x14ac:dyDescent="0.25"/>
  <cols>
    <col min="1" max="1" width="8.7109375" customWidth="1"/>
    <col min="2" max="2" width="11.28515625" customWidth="1"/>
    <col min="3" max="3" width="11.42578125" customWidth="1"/>
    <col min="4" max="4" width="11.28515625" customWidth="1"/>
    <col min="11" max="11" width="13.28515625" customWidth="1"/>
  </cols>
  <sheetData>
    <row r="1" spans="1:11" x14ac:dyDescent="0.25">
      <c r="A1" s="8" t="s">
        <v>0</v>
      </c>
      <c r="B1" s="8"/>
      <c r="C1" s="8"/>
      <c r="D1" s="8"/>
      <c r="E1" s="8"/>
      <c r="F1" s="8"/>
      <c r="G1" s="8"/>
      <c r="H1" s="8"/>
    </row>
    <row r="2" spans="1:11" x14ac:dyDescent="0.25">
      <c r="A2" s="8"/>
      <c r="B2" s="8"/>
      <c r="C2" s="8"/>
      <c r="D2" s="8"/>
      <c r="E2" s="8"/>
      <c r="F2" s="8"/>
      <c r="G2" s="8"/>
      <c r="H2" s="8"/>
    </row>
    <row r="3" spans="1:11" x14ac:dyDescent="0.25">
      <c r="A3" t="s">
        <v>1</v>
      </c>
      <c r="B3">
        <v>2</v>
      </c>
      <c r="C3">
        <v>7</v>
      </c>
      <c r="D3">
        <v>6</v>
      </c>
      <c r="E3">
        <v>9</v>
      </c>
      <c r="F3">
        <v>4</v>
      </c>
    </row>
    <row r="4" spans="1:11" x14ac:dyDescent="0.25">
      <c r="A4" t="s">
        <v>2</v>
      </c>
      <c r="B4">
        <v>2</v>
      </c>
      <c r="C4">
        <v>9</v>
      </c>
      <c r="D4">
        <v>8</v>
      </c>
      <c r="E4">
        <v>6</v>
      </c>
      <c r="F4">
        <v>5</v>
      </c>
      <c r="I4" s="9" t="s">
        <v>18</v>
      </c>
      <c r="J4" s="8"/>
    </row>
    <row r="5" spans="1:11" x14ac:dyDescent="0.25">
      <c r="J5" t="s">
        <v>19</v>
      </c>
      <c r="K5" t="s">
        <v>20</v>
      </c>
    </row>
    <row r="6" spans="1:11" x14ac:dyDescent="0.25">
      <c r="A6" s="8" t="s">
        <v>3</v>
      </c>
      <c r="B6" s="8"/>
      <c r="C6" s="8"/>
      <c r="D6" s="8"/>
      <c r="E6" s="8"/>
      <c r="F6" s="8"/>
      <c r="J6" t="s">
        <v>21</v>
      </c>
      <c r="K6" t="s">
        <v>22</v>
      </c>
    </row>
    <row r="8" spans="1:11" x14ac:dyDescent="0.25">
      <c r="A8" s="9" t="s">
        <v>4</v>
      </c>
      <c r="B8" s="8"/>
      <c r="F8" s="9" t="s">
        <v>6</v>
      </c>
      <c r="G8" s="8"/>
    </row>
    <row r="9" spans="1:11" x14ac:dyDescent="0.25">
      <c r="A9" s="8" t="s">
        <v>5</v>
      </c>
      <c r="B9" s="8"/>
      <c r="C9" s="8"/>
      <c r="D9" s="8"/>
      <c r="F9" t="s">
        <v>1</v>
      </c>
      <c r="G9" t="s">
        <v>2</v>
      </c>
    </row>
    <row r="10" spans="1:11" x14ac:dyDescent="0.25">
      <c r="A10" s="8"/>
      <c r="B10" s="8"/>
      <c r="C10" s="8"/>
      <c r="D10" s="8"/>
      <c r="F10">
        <v>2</v>
      </c>
      <c r="G10">
        <v>2</v>
      </c>
    </row>
    <row r="11" spans="1:11" x14ac:dyDescent="0.25">
      <c r="A11" s="8" t="s">
        <v>8</v>
      </c>
      <c r="B11" s="8"/>
      <c r="C11" s="8"/>
      <c r="D11" s="8"/>
      <c r="F11">
        <v>7</v>
      </c>
      <c r="G11">
        <v>9</v>
      </c>
      <c r="K11" s="2"/>
    </row>
    <row r="12" spans="1:11" x14ac:dyDescent="0.25">
      <c r="A12" s="8"/>
      <c r="B12" s="8"/>
      <c r="C12" s="8"/>
      <c r="D12" s="8"/>
      <c r="F12">
        <v>6</v>
      </c>
      <c r="G12">
        <v>8</v>
      </c>
    </row>
    <row r="13" spans="1:11" x14ac:dyDescent="0.25">
      <c r="A13" s="8">
        <v>3</v>
      </c>
      <c r="B13" s="8"/>
      <c r="C13" s="8"/>
      <c r="D13" s="8"/>
      <c r="F13">
        <v>3</v>
      </c>
      <c r="G13">
        <v>6</v>
      </c>
    </row>
    <row r="14" spans="1:11" x14ac:dyDescent="0.25">
      <c r="A14" s="8"/>
      <c r="B14" s="8"/>
      <c r="C14" s="8"/>
      <c r="D14" s="8"/>
      <c r="F14">
        <v>4</v>
      </c>
      <c r="G14">
        <v>5</v>
      </c>
    </row>
    <row r="16" spans="1:11" x14ac:dyDescent="0.25">
      <c r="F16" t="s">
        <v>7</v>
      </c>
      <c r="G16">
        <f>CORREL(F10:F14,G10:G14)</f>
        <v>0.92447345164190509</v>
      </c>
    </row>
    <row r="18" spans="1:5" x14ac:dyDescent="0.25">
      <c r="A18" s="1" t="s">
        <v>9</v>
      </c>
    </row>
    <row r="19" spans="1:5" x14ac:dyDescent="0.25">
      <c r="A19" s="8" t="s">
        <v>10</v>
      </c>
      <c r="B19" s="8"/>
      <c r="C19" s="8"/>
      <c r="D19" s="8"/>
      <c r="E19" s="8"/>
    </row>
  </sheetData>
  <mergeCells count="9">
    <mergeCell ref="A19:E19"/>
    <mergeCell ref="I4:J4"/>
    <mergeCell ref="A1:H2"/>
    <mergeCell ref="A6:F6"/>
    <mergeCell ref="A8:B8"/>
    <mergeCell ref="A9:D10"/>
    <mergeCell ref="A11:D12"/>
    <mergeCell ref="A13:D14"/>
    <mergeCell ref="F8:G8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F9418-610B-4438-8F31-62DA5DBBBE22}">
  <dimension ref="A2:G37"/>
  <sheetViews>
    <sheetView zoomScaleNormal="100" workbookViewId="0">
      <selection activeCell="Q25" sqref="Q25"/>
    </sheetView>
  </sheetViews>
  <sheetFormatPr defaultRowHeight="15" x14ac:dyDescent="0.25"/>
  <cols>
    <col min="4" max="4" width="15.140625" customWidth="1"/>
  </cols>
  <sheetData>
    <row r="2" spans="1:7" x14ac:dyDescent="0.25">
      <c r="B2" s="8" t="s">
        <v>11</v>
      </c>
      <c r="C2" s="8"/>
      <c r="D2" s="8"/>
      <c r="E2" s="8"/>
      <c r="F2" s="8"/>
    </row>
    <row r="3" spans="1:7" x14ac:dyDescent="0.25">
      <c r="B3" s="8"/>
      <c r="C3" s="8"/>
      <c r="D3" s="8"/>
      <c r="E3" s="8"/>
      <c r="F3" s="8"/>
    </row>
    <row r="4" spans="1:7" x14ac:dyDescent="0.25">
      <c r="B4" t="s">
        <v>1</v>
      </c>
      <c r="C4">
        <v>2</v>
      </c>
      <c r="D4">
        <v>7</v>
      </c>
      <c r="E4">
        <v>6</v>
      </c>
      <c r="F4">
        <v>9</v>
      </c>
      <c r="G4">
        <v>4</v>
      </c>
    </row>
    <row r="5" spans="1:7" x14ac:dyDescent="0.25">
      <c r="B5" t="s">
        <v>2</v>
      </c>
      <c r="C5">
        <v>2</v>
      </c>
      <c r="D5">
        <v>9</v>
      </c>
      <c r="E5">
        <v>8</v>
      </c>
      <c r="F5">
        <v>6</v>
      </c>
      <c r="G5">
        <v>5</v>
      </c>
    </row>
    <row r="7" spans="1:7" x14ac:dyDescent="0.25">
      <c r="B7" s="8" t="s">
        <v>12</v>
      </c>
      <c r="C7" s="8"/>
      <c r="D7" s="8"/>
      <c r="E7" s="8"/>
      <c r="F7" s="8"/>
      <c r="G7" s="8"/>
    </row>
    <row r="10" spans="1:7" x14ac:dyDescent="0.25">
      <c r="A10" s="9" t="s">
        <v>13</v>
      </c>
      <c r="B10" s="8"/>
      <c r="E10" s="9" t="s">
        <v>17</v>
      </c>
      <c r="F10" s="9"/>
    </row>
    <row r="11" spans="1:7" x14ac:dyDescent="0.25">
      <c r="A11" s="8" t="s">
        <v>14</v>
      </c>
      <c r="B11" s="8"/>
      <c r="C11" s="8"/>
      <c r="D11" s="8"/>
      <c r="E11" t="s">
        <v>1</v>
      </c>
      <c r="F11" t="s">
        <v>2</v>
      </c>
    </row>
    <row r="12" spans="1:7" x14ac:dyDescent="0.25">
      <c r="A12" s="8" t="s">
        <v>15</v>
      </c>
      <c r="B12" s="8"/>
      <c r="C12" s="8"/>
      <c r="D12" s="8"/>
      <c r="E12">
        <v>2</v>
      </c>
      <c r="F12">
        <v>2</v>
      </c>
    </row>
    <row r="13" spans="1:7" x14ac:dyDescent="0.25">
      <c r="A13" s="8" t="s">
        <v>16</v>
      </c>
      <c r="B13" s="8"/>
      <c r="C13" s="8"/>
      <c r="D13" s="8"/>
      <c r="E13">
        <v>7</v>
      </c>
      <c r="F13">
        <v>9</v>
      </c>
    </row>
    <row r="14" spans="1:7" x14ac:dyDescent="0.25">
      <c r="E14">
        <v>6</v>
      </c>
      <c r="F14">
        <v>8</v>
      </c>
    </row>
    <row r="15" spans="1:7" x14ac:dyDescent="0.25">
      <c r="E15">
        <v>3</v>
      </c>
      <c r="F15">
        <v>6</v>
      </c>
    </row>
    <row r="16" spans="1:7" x14ac:dyDescent="0.25">
      <c r="E16">
        <v>4</v>
      </c>
      <c r="F16">
        <v>5</v>
      </c>
    </row>
    <row r="18" spans="5:6" x14ac:dyDescent="0.25">
      <c r="E18" s="8" t="s">
        <v>23</v>
      </c>
      <c r="F18" s="8"/>
    </row>
    <row r="19" spans="5:6" x14ac:dyDescent="0.25">
      <c r="E19" s="8"/>
      <c r="F19" s="8"/>
    </row>
    <row r="20" spans="5:6" x14ac:dyDescent="0.25">
      <c r="E20" t="s">
        <v>24</v>
      </c>
      <c r="F20">
        <f>(1.22*10)+0.62</f>
        <v>12.819999999999999</v>
      </c>
    </row>
    <row r="36" spans="2:4" x14ac:dyDescent="0.25">
      <c r="B36" s="9" t="s">
        <v>9</v>
      </c>
      <c r="C36" s="8"/>
    </row>
    <row r="37" spans="2:4" x14ac:dyDescent="0.25">
      <c r="B37" s="8" t="s">
        <v>25</v>
      </c>
      <c r="C37" s="8"/>
      <c r="D37" t="s">
        <v>26</v>
      </c>
    </row>
  </sheetData>
  <mergeCells count="10">
    <mergeCell ref="A13:D13"/>
    <mergeCell ref="E10:F10"/>
    <mergeCell ref="E18:F19"/>
    <mergeCell ref="B36:C36"/>
    <mergeCell ref="B37:C37"/>
    <mergeCell ref="B2:F3"/>
    <mergeCell ref="B7:G7"/>
    <mergeCell ref="A10:B10"/>
    <mergeCell ref="A11:D11"/>
    <mergeCell ref="A12:D12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C71F3-EDAC-4C28-A1D6-182EE705764F}">
  <dimension ref="A4:H27"/>
  <sheetViews>
    <sheetView tabSelected="1" topLeftCell="A4" workbookViewId="0">
      <selection activeCell="L20" sqref="L20"/>
    </sheetView>
  </sheetViews>
  <sheetFormatPr defaultRowHeight="15" x14ac:dyDescent="0.25"/>
  <sheetData>
    <row r="4" spans="1:8" ht="19.5" x14ac:dyDescent="0.25">
      <c r="B4" s="3"/>
      <c r="C4" s="3"/>
      <c r="D4" s="3"/>
      <c r="E4" s="3"/>
      <c r="F4" s="3"/>
      <c r="G4" s="3"/>
      <c r="H4" s="3"/>
    </row>
    <row r="5" spans="1:8" ht="12.75" customHeight="1" x14ac:dyDescent="0.25">
      <c r="A5" s="9" t="s">
        <v>17</v>
      </c>
      <c r="B5" s="8"/>
      <c r="C5" s="3"/>
      <c r="D5" s="3"/>
      <c r="E5" s="3"/>
      <c r="F5" s="3"/>
      <c r="G5" s="3"/>
      <c r="H5" s="3"/>
    </row>
    <row r="6" spans="1:8" ht="15.75" thickBot="1" x14ac:dyDescent="0.3">
      <c r="B6" s="1"/>
    </row>
    <row r="7" spans="1:8" ht="20.25" thickBot="1" x14ac:dyDescent="0.3">
      <c r="B7" s="13" t="s">
        <v>1</v>
      </c>
      <c r="C7" s="14" t="s">
        <v>27</v>
      </c>
      <c r="D7" s="15" t="s">
        <v>28</v>
      </c>
      <c r="E7" s="20" t="s">
        <v>33</v>
      </c>
      <c r="F7" s="25" t="s">
        <v>34</v>
      </c>
    </row>
    <row r="8" spans="1:8" ht="19.5" x14ac:dyDescent="0.25">
      <c r="B8" s="10">
        <v>0</v>
      </c>
      <c r="C8" s="11">
        <v>10</v>
      </c>
      <c r="D8" s="12">
        <f>B8*C8</f>
        <v>0</v>
      </c>
      <c r="E8" s="23">
        <f>_xlfn.BINOM.DIST(B8,5,0.43,0)</f>
        <v>6.016920570000004E-2</v>
      </c>
      <c r="F8" s="26">
        <f>67*E8</f>
        <v>4.031336781900003</v>
      </c>
    </row>
    <row r="9" spans="1:8" ht="19.5" x14ac:dyDescent="0.25">
      <c r="B9" s="4">
        <v>1</v>
      </c>
      <c r="C9" s="6">
        <v>12</v>
      </c>
      <c r="D9" s="12">
        <f t="shared" ref="D9:D13" si="0">B9*C9</f>
        <v>12</v>
      </c>
      <c r="E9" s="22">
        <f t="shared" ref="E9:E13" si="1">_xlfn.BINOM.DIST(B9,5,0.43,0)</f>
        <v>0.22695402150000005</v>
      </c>
      <c r="F9" s="26">
        <f t="shared" ref="F9:F13" si="2">67*E9</f>
        <v>15.205919440500002</v>
      </c>
    </row>
    <row r="10" spans="1:8" ht="19.5" x14ac:dyDescent="0.25">
      <c r="B10" s="4">
        <v>2</v>
      </c>
      <c r="C10" s="6">
        <v>15</v>
      </c>
      <c r="D10" s="12">
        <f t="shared" si="0"/>
        <v>30</v>
      </c>
      <c r="E10" s="22">
        <f t="shared" si="1"/>
        <v>0.34242185699999994</v>
      </c>
      <c r="F10" s="26">
        <f t="shared" si="2"/>
        <v>22.942264418999997</v>
      </c>
    </row>
    <row r="11" spans="1:8" ht="19.5" x14ac:dyDescent="0.25">
      <c r="B11" s="4">
        <v>3</v>
      </c>
      <c r="C11" s="6">
        <v>20</v>
      </c>
      <c r="D11" s="12">
        <f t="shared" si="0"/>
        <v>60</v>
      </c>
      <c r="E11" s="22">
        <f t="shared" si="1"/>
        <v>0.25831824299999989</v>
      </c>
      <c r="F11" s="26">
        <f t="shared" si="2"/>
        <v>17.307322280999994</v>
      </c>
    </row>
    <row r="12" spans="1:8" ht="19.5" x14ac:dyDescent="0.25">
      <c r="B12" s="4">
        <v>4</v>
      </c>
      <c r="C12" s="6">
        <v>8</v>
      </c>
      <c r="D12" s="12">
        <f t="shared" si="0"/>
        <v>32</v>
      </c>
      <c r="E12" s="22">
        <f t="shared" si="1"/>
        <v>9.7435828500000002E-2</v>
      </c>
      <c r="F12" s="26">
        <f t="shared" si="2"/>
        <v>6.5282005095000004</v>
      </c>
    </row>
    <row r="13" spans="1:8" ht="20.25" thickBot="1" x14ac:dyDescent="0.3">
      <c r="B13" s="5">
        <v>5</v>
      </c>
      <c r="C13" s="7">
        <v>2</v>
      </c>
      <c r="D13" s="12">
        <f t="shared" si="0"/>
        <v>10</v>
      </c>
      <c r="E13" s="24">
        <f t="shared" si="1"/>
        <v>1.4700844299999998E-2</v>
      </c>
      <c r="F13" s="26">
        <f t="shared" si="2"/>
        <v>0.98495656809999987</v>
      </c>
    </row>
    <row r="14" spans="1:8" ht="15.75" thickBot="1" x14ac:dyDescent="0.3">
      <c r="C14" s="17">
        <f>SUM(C8:C13)</f>
        <v>67</v>
      </c>
      <c r="D14" s="16">
        <f>SUM(D8:D13)</f>
        <v>144</v>
      </c>
      <c r="E14" s="18">
        <f>SUM(E8:E13)</f>
        <v>1</v>
      </c>
      <c r="F14" s="27">
        <f>SUM(F8:F13)</f>
        <v>67</v>
      </c>
    </row>
    <row r="17" spans="2:8" x14ac:dyDescent="0.25">
      <c r="B17" t="s">
        <v>29</v>
      </c>
      <c r="C17" s="19">
        <f>D14/C14</f>
        <v>2.1492537313432836</v>
      </c>
      <c r="D17" t="s">
        <v>32</v>
      </c>
      <c r="E17">
        <v>2.15</v>
      </c>
    </row>
    <row r="18" spans="2:8" x14ac:dyDescent="0.25">
      <c r="B18" t="s">
        <v>30</v>
      </c>
      <c r="C18" s="19">
        <f>C17/5</f>
        <v>0.42985074626865671</v>
      </c>
    </row>
    <row r="19" spans="2:8" x14ac:dyDescent="0.25">
      <c r="B19" t="s">
        <v>31</v>
      </c>
      <c r="C19" s="19">
        <f>1-C18</f>
        <v>0.57014925373134329</v>
      </c>
    </row>
    <row r="21" spans="2:8" x14ac:dyDescent="0.25">
      <c r="B21" s="21"/>
      <c r="C21" s="21"/>
      <c r="D21" s="21"/>
      <c r="E21" s="21"/>
      <c r="F21" s="21"/>
    </row>
    <row r="22" spans="2:8" x14ac:dyDescent="0.25">
      <c r="B22" s="9" t="s">
        <v>9</v>
      </c>
      <c r="C22" s="8"/>
      <c r="F22" s="19"/>
    </row>
    <row r="23" spans="2:8" x14ac:dyDescent="0.25">
      <c r="B23" t="s">
        <v>1</v>
      </c>
      <c r="C23" s="27">
        <v>0</v>
      </c>
      <c r="D23" s="27">
        <v>1</v>
      </c>
      <c r="E23" s="27">
        <v>2</v>
      </c>
      <c r="F23" s="27">
        <v>3</v>
      </c>
      <c r="G23" s="27">
        <v>4</v>
      </c>
      <c r="H23" s="27">
        <v>5</v>
      </c>
    </row>
    <row r="24" spans="2:8" x14ac:dyDescent="0.25">
      <c r="B24" t="s">
        <v>34</v>
      </c>
      <c r="C24" s="27">
        <v>4.031336781900003</v>
      </c>
      <c r="D24" s="27">
        <v>15.205919440500002</v>
      </c>
      <c r="E24" s="27">
        <v>22.942264418999997</v>
      </c>
      <c r="F24" s="27">
        <v>17.307322280999994</v>
      </c>
      <c r="G24" s="27">
        <v>6.5282005095000004</v>
      </c>
      <c r="H24" s="27">
        <v>0.98495656809999987</v>
      </c>
    </row>
    <row r="25" spans="2:8" x14ac:dyDescent="0.25">
      <c r="C25" s="19"/>
      <c r="F25" s="19"/>
    </row>
    <row r="26" spans="2:8" x14ac:dyDescent="0.25">
      <c r="C26" s="19"/>
      <c r="F26" s="19"/>
    </row>
    <row r="27" spans="2:8" x14ac:dyDescent="0.25">
      <c r="C27" s="19"/>
      <c r="F27" s="19"/>
    </row>
  </sheetData>
  <mergeCells count="2">
    <mergeCell ref="A5:B5"/>
    <mergeCell ref="B22:C2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2023-07-31T08:53:13Z</dcterms:created>
  <dcterms:modified xsi:type="dcterms:W3CDTF">2023-08-02T09:26:13Z</dcterms:modified>
</cp:coreProperties>
</file>