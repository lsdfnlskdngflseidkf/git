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jwal\git\business Stats\"/>
    </mc:Choice>
  </mc:AlternateContent>
  <xr:revisionPtr revIDLastSave="0" documentId="13_ncr:1_{3E69F600-5DE4-4056-9BFF-5C06B6D97CF3}" xr6:coauthVersionLast="47" xr6:coauthVersionMax="47" xr10:uidLastSave="{00000000-0000-0000-0000-000000000000}"/>
  <bookViews>
    <workbookView xWindow="-120" yWindow="-120" windowWidth="29040" windowHeight="15720" activeTab="2" xr2:uid="{84D76DE3-8557-4722-B5C1-4893E077E0C2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6" i="3" l="1"/>
  <c r="E25" i="3"/>
  <c r="F25" i="3" s="1"/>
  <c r="D25" i="3"/>
  <c r="E24" i="3"/>
  <c r="F24" i="3" s="1"/>
  <c r="D24" i="3"/>
  <c r="E23" i="3"/>
  <c r="F23" i="3" s="1"/>
  <c r="D23" i="3"/>
  <c r="E22" i="3"/>
  <c r="F22" i="3" s="1"/>
  <c r="D22" i="3"/>
  <c r="E21" i="3"/>
  <c r="F21" i="3" s="1"/>
  <c r="D21" i="3"/>
  <c r="E20" i="3"/>
  <c r="D20" i="3"/>
  <c r="F20" i="2"/>
  <c r="G16" i="1"/>
  <c r="E26" i="3" l="1"/>
  <c r="D26" i="3"/>
  <c r="C29" i="3" s="1"/>
  <c r="C30" i="3" s="1"/>
  <c r="C31" i="3" s="1"/>
  <c r="F20" i="3"/>
  <c r="F26" i="3" s="1"/>
</calcChain>
</file>

<file path=xl/sharedStrings.xml><?xml version="1.0" encoding="utf-8"?>
<sst xmlns="http://schemas.openxmlformats.org/spreadsheetml/2006/main" count="54" uniqueCount="39">
  <si>
    <t>Calculate the correlation of the following data</t>
  </si>
  <si>
    <t>x</t>
  </si>
  <si>
    <t>y</t>
  </si>
  <si>
    <t>Also write the correlation coefficient</t>
  </si>
  <si>
    <t>Working Expression:</t>
  </si>
  <si>
    <t>1correlation(x,y)=cov(x,y)/v(x)^-2*v(y)^-2</t>
  </si>
  <si>
    <t>calculation:</t>
  </si>
  <si>
    <t>r(x,y)</t>
  </si>
  <si>
    <t>r(xy)=nΣxy-ΣxΣy/(nΣx62))^-2(nΣy^2-(Σy)^2)^-2</t>
  </si>
  <si>
    <t>Conclusion:</t>
  </si>
  <si>
    <t>Since r(x,y)&gt;0 the correlation is Highly positive</t>
  </si>
  <si>
    <t>Fit the following data on the regression of y on x</t>
  </si>
  <si>
    <t>Also fin dout the value when x=10</t>
  </si>
  <si>
    <t>Working Experssion:</t>
  </si>
  <si>
    <t>1.y=a+bx</t>
  </si>
  <si>
    <t>2.ey=na+bΣx</t>
  </si>
  <si>
    <t>3.Σxy=aΣx+bΣx^2</t>
  </si>
  <si>
    <t>Calculation:</t>
  </si>
  <si>
    <t>Unicodes:</t>
  </si>
  <si>
    <t>alt+251</t>
  </si>
  <si>
    <t>square root</t>
  </si>
  <si>
    <t>alt+228</t>
  </si>
  <si>
    <t>Summation</t>
  </si>
  <si>
    <t>When x=10,then</t>
  </si>
  <si>
    <t>y=</t>
  </si>
  <si>
    <t>Regression equation</t>
  </si>
  <si>
    <t>1.2209x+0.6279</t>
  </si>
  <si>
    <t>f</t>
  </si>
  <si>
    <t>fx</t>
  </si>
  <si>
    <t>mean</t>
  </si>
  <si>
    <t>p</t>
  </si>
  <si>
    <t>q</t>
  </si>
  <si>
    <t>np</t>
  </si>
  <si>
    <t>p(x)</t>
  </si>
  <si>
    <t>EF</t>
  </si>
  <si>
    <t>Fit the following data in Binomial Distribution.</t>
  </si>
  <si>
    <r>
      <t>2.</t>
    </r>
    <r>
      <rPr>
        <sz val="7"/>
        <color theme="1"/>
        <rFont val="Times New Roman"/>
        <family val="1"/>
      </rPr>
      <t xml:space="preserve">   </t>
    </r>
  </si>
  <si>
    <t xml:space="preserve"> </t>
  </si>
  <si>
    <r>
      <t>3.</t>
    </r>
    <r>
      <rPr>
        <vertAlign val="superscript"/>
        <sz val="7"/>
        <color theme="1"/>
        <rFont val="Times New Roman"/>
        <family val="1"/>
      </rPr>
      <t xml:space="preserve">             </t>
    </r>
    <r>
      <rPr>
        <sz val="15"/>
        <color theme="1"/>
        <rFont val="Calibri"/>
        <family val="2"/>
        <scheme val="minor"/>
      </rPr>
      <t xml:space="preserve">P(x) = </t>
    </r>
    <r>
      <rPr>
        <vertAlign val="superscript"/>
        <sz val="15"/>
        <color theme="1"/>
        <rFont val="Calibri"/>
        <family val="2"/>
        <scheme val="minor"/>
      </rPr>
      <t>n</t>
    </r>
    <r>
      <rPr>
        <sz val="15"/>
        <color theme="1"/>
        <rFont val="Calibri"/>
        <family val="2"/>
        <scheme val="minor"/>
      </rPr>
      <t>C</t>
    </r>
    <r>
      <rPr>
        <vertAlign val="sub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p</t>
    </r>
    <r>
      <rPr>
        <vertAlign val="super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q</t>
    </r>
    <r>
      <rPr>
        <vertAlign val="superscript"/>
        <sz val="15"/>
        <color theme="1"/>
        <rFont val="Calibri"/>
        <family val="2"/>
        <scheme val="minor"/>
      </rPr>
      <t>n-x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</si>
</sst>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5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7"/>
      <color theme="1"/>
      <name val="Times New Roman"/>
      <family val="1"/>
    </font>
    <font>
      <vertAlign val="superscript"/>
      <sz val="16"/>
      <color theme="1"/>
      <name val="Calibri"/>
      <family val="2"/>
      <scheme val="minor"/>
    </font>
    <font>
      <vertAlign val="superscript"/>
      <sz val="7"/>
      <color theme="1"/>
      <name val="Times New Roman"/>
      <family val="1"/>
    </font>
    <font>
      <vertAlign val="superscript"/>
      <sz val="15"/>
      <color theme="1"/>
      <name val="Calibri"/>
      <family val="2"/>
      <scheme val="minor"/>
    </font>
    <font>
      <vertAlign val="subscript"/>
      <sz val="1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0" fillId="0" borderId="7" xfId="0" applyBorder="1"/>
    <xf numFmtId="2" fontId="0" fillId="0" borderId="0" xfId="0" applyNumberFormat="1"/>
    <xf numFmtId="0" fontId="0" fillId="0" borderId="0" xfId="0" applyAlignment="1"/>
    <xf numFmtId="0" fontId="0" fillId="0" borderId="0" xfId="0" applyBorder="1"/>
    <xf numFmtId="1" fontId="0" fillId="0" borderId="0" xfId="0" applyNumberFormat="1" applyBorder="1"/>
    <xf numFmtId="0" fontId="3" fillId="0" borderId="1" xfId="0" applyFont="1" applyBorder="1" applyAlignment="1">
      <alignment vertical="center" wrapText="1"/>
    </xf>
    <xf numFmtId="165" fontId="0" fillId="0" borderId="1" xfId="0" applyNumberFormat="1" applyBorder="1"/>
    <xf numFmtId="1" fontId="0" fillId="0" borderId="1" xfId="0" applyNumberFormat="1" applyBorder="1"/>
    <xf numFmtId="1" fontId="0" fillId="0" borderId="4" xfId="0" applyNumberFormat="1" applyBorder="1"/>
    <xf numFmtId="0" fontId="3" fillId="0" borderId="12" xfId="0" applyFont="1" applyBorder="1" applyAlignment="1">
      <alignment vertical="center" wrapText="1"/>
    </xf>
    <xf numFmtId="0" fontId="0" fillId="0" borderId="12" xfId="0" applyBorder="1"/>
    <xf numFmtId="165" fontId="0" fillId="0" borderId="12" xfId="0" applyNumberFormat="1" applyBorder="1"/>
    <xf numFmtId="1" fontId="0" fillId="0" borderId="6" xfId="0" applyNumberFormat="1" applyBorder="1"/>
    <xf numFmtId="0" fontId="3" fillId="0" borderId="13" xfId="0" applyFont="1" applyBorder="1" applyAlignment="1">
      <alignment vertical="center" wrapText="1"/>
    </xf>
    <xf numFmtId="0" fontId="0" fillId="0" borderId="13" xfId="0" applyBorder="1"/>
    <xf numFmtId="0" fontId="0" fillId="0" borderId="8" xfId="0" applyFill="1" applyBorder="1"/>
    <xf numFmtId="0" fontId="3" fillId="0" borderId="14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0" fillId="0" borderId="15" xfId="0" applyBorder="1"/>
    <xf numFmtId="165" fontId="0" fillId="0" borderId="15" xfId="0" applyNumberFormat="1" applyBorder="1"/>
    <xf numFmtId="1" fontId="0" fillId="0" borderId="16" xfId="0" applyNumberFormat="1" applyBorder="1"/>
    <xf numFmtId="165" fontId="0" fillId="0" borderId="13" xfId="0" applyNumberFormat="1" applyBorder="1"/>
    <xf numFmtId="1" fontId="0" fillId="0" borderId="8" xfId="0" applyNumberFormat="1" applyBorder="1"/>
    <xf numFmtId="0" fontId="1" fillId="0" borderId="17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6" fillId="0" borderId="0" xfId="0" applyFont="1" applyAlignment="1">
      <alignment horizontal="left" vertical="center" indent="3"/>
    </xf>
    <xf numFmtId="0" fontId="8" fillId="0" borderId="0" xfId="0" applyFont="1" applyAlignment="1">
      <alignment horizontal="left" vertical="center" indent="3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Sheet2!$E$12:$E$16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Sheet2!$F$12:$F$16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B8-462E-BF70-EF03FA7C9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122064"/>
        <c:axId val="1701121232"/>
      </c:scatterChart>
      <c:valAx>
        <c:axId val="170112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1232"/>
        <c:crosses val="autoZero"/>
        <c:crossBetween val="midCat"/>
      </c:valAx>
      <c:valAx>
        <c:axId val="170112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130628</xdr:rowOff>
    </xdr:from>
    <xdr:to>
      <xdr:col>7</xdr:col>
      <xdr:colOff>304800</xdr:colOff>
      <xdr:row>34</xdr:row>
      <xdr:rowOff>54427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7B181E-AD58-4682-AC0F-8CD977BBE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180974</xdr:colOff>
      <xdr:row>5</xdr:row>
      <xdr:rowOff>238125</xdr:rowOff>
    </xdr:from>
    <xdr:to>
      <xdr:col>2</xdr:col>
      <xdr:colOff>547006</xdr:colOff>
      <xdr:row>7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6802A36-5794-4CD2-9991-A4074A0EE9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2524" y="1419225"/>
          <a:ext cx="1309007" cy="352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7</xdr:row>
      <xdr:rowOff>238125</xdr:rowOff>
    </xdr:from>
    <xdr:to>
      <xdr:col>1</xdr:col>
      <xdr:colOff>714375</xdr:colOff>
      <xdr:row>9</xdr:row>
      <xdr:rowOff>47625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1C27B68-0F0D-4020-8BAB-66D637295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3475" y="2028825"/>
          <a:ext cx="55245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10</xdr:row>
      <xdr:rowOff>47625</xdr:rowOff>
    </xdr:from>
    <xdr:to>
      <xdr:col>1</xdr:col>
      <xdr:colOff>752475</xdr:colOff>
      <xdr:row>10</xdr:row>
      <xdr:rowOff>466725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74C2CE5-9B01-40B5-A840-F94CC1E6F1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2638425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72846-4320-41F4-B553-845A86DE91D1}">
  <dimension ref="A1:K19"/>
  <sheetViews>
    <sheetView workbookViewId="0">
      <selection activeCell="K24" sqref="K24"/>
    </sheetView>
  </sheetViews>
  <sheetFormatPr defaultRowHeight="15" x14ac:dyDescent="0.25"/>
  <cols>
    <col min="1" max="1" width="8.7109375" customWidth="1"/>
    <col min="2" max="2" width="11.28515625" customWidth="1"/>
    <col min="3" max="3" width="11.42578125" customWidth="1"/>
    <col min="4" max="4" width="11.28515625" customWidth="1"/>
    <col min="11" max="11" width="13.28515625" customWidth="1"/>
  </cols>
  <sheetData>
    <row r="1" spans="1:11" x14ac:dyDescent="0.25">
      <c r="A1" s="8" t="s">
        <v>0</v>
      </c>
      <c r="B1" s="8"/>
      <c r="C1" s="8"/>
      <c r="D1" s="8"/>
      <c r="E1" s="8"/>
      <c r="F1" s="8"/>
      <c r="G1" s="8"/>
      <c r="H1" s="8"/>
    </row>
    <row r="2" spans="1:11" x14ac:dyDescent="0.25">
      <c r="A2" s="8"/>
      <c r="B2" s="8"/>
      <c r="C2" s="8"/>
      <c r="D2" s="8"/>
      <c r="E2" s="8"/>
      <c r="F2" s="8"/>
      <c r="G2" s="8"/>
      <c r="H2" s="8"/>
    </row>
    <row r="3" spans="1:11" x14ac:dyDescent="0.25">
      <c r="A3" t="s">
        <v>1</v>
      </c>
      <c r="B3">
        <v>2</v>
      </c>
      <c r="C3">
        <v>7</v>
      </c>
      <c r="D3">
        <v>6</v>
      </c>
      <c r="E3">
        <v>9</v>
      </c>
      <c r="F3">
        <v>4</v>
      </c>
    </row>
    <row r="4" spans="1:11" x14ac:dyDescent="0.25">
      <c r="A4" t="s">
        <v>2</v>
      </c>
      <c r="B4">
        <v>2</v>
      </c>
      <c r="C4">
        <v>9</v>
      </c>
      <c r="D4">
        <v>8</v>
      </c>
      <c r="E4">
        <v>6</v>
      </c>
      <c r="F4">
        <v>5</v>
      </c>
      <c r="I4" s="9" t="s">
        <v>18</v>
      </c>
      <c r="J4" s="8"/>
    </row>
    <row r="5" spans="1:11" x14ac:dyDescent="0.25">
      <c r="J5" t="s">
        <v>19</v>
      </c>
      <c r="K5" t="s">
        <v>20</v>
      </c>
    </row>
    <row r="6" spans="1:11" x14ac:dyDescent="0.25">
      <c r="A6" s="8" t="s">
        <v>3</v>
      </c>
      <c r="B6" s="8"/>
      <c r="C6" s="8"/>
      <c r="D6" s="8"/>
      <c r="E6" s="8"/>
      <c r="F6" s="8"/>
      <c r="J6" t="s">
        <v>21</v>
      </c>
      <c r="K6" t="s">
        <v>22</v>
      </c>
    </row>
    <row r="8" spans="1:11" x14ac:dyDescent="0.25">
      <c r="A8" s="9" t="s">
        <v>4</v>
      </c>
      <c r="B8" s="8"/>
      <c r="F8" s="9" t="s">
        <v>6</v>
      </c>
      <c r="G8" s="8"/>
    </row>
    <row r="9" spans="1:11" x14ac:dyDescent="0.25">
      <c r="A9" s="8" t="s">
        <v>5</v>
      </c>
      <c r="B9" s="8"/>
      <c r="C9" s="8"/>
      <c r="D9" s="8"/>
      <c r="F9" t="s">
        <v>1</v>
      </c>
      <c r="G9" t="s">
        <v>2</v>
      </c>
    </row>
    <row r="10" spans="1:11" x14ac:dyDescent="0.25">
      <c r="A10" s="8"/>
      <c r="B10" s="8"/>
      <c r="C10" s="8"/>
      <c r="D10" s="8"/>
      <c r="F10">
        <v>2</v>
      </c>
      <c r="G10">
        <v>2</v>
      </c>
    </row>
    <row r="11" spans="1:11" x14ac:dyDescent="0.25">
      <c r="A11" s="8" t="s">
        <v>8</v>
      </c>
      <c r="B11" s="8"/>
      <c r="C11" s="8"/>
      <c r="D11" s="8"/>
      <c r="F11">
        <v>7</v>
      </c>
      <c r="G11">
        <v>9</v>
      </c>
      <c r="K11" s="2"/>
    </row>
    <row r="12" spans="1:11" x14ac:dyDescent="0.25">
      <c r="A12" s="8"/>
      <c r="B12" s="8"/>
      <c r="C12" s="8"/>
      <c r="D12" s="8"/>
      <c r="F12">
        <v>6</v>
      </c>
      <c r="G12">
        <v>8</v>
      </c>
    </row>
    <row r="13" spans="1:11" x14ac:dyDescent="0.25">
      <c r="A13" s="8">
        <v>3</v>
      </c>
      <c r="B13" s="8"/>
      <c r="C13" s="8"/>
      <c r="D13" s="8"/>
      <c r="F13">
        <v>3</v>
      </c>
      <c r="G13">
        <v>6</v>
      </c>
    </row>
    <row r="14" spans="1:11" x14ac:dyDescent="0.25">
      <c r="A14" s="8"/>
      <c r="B14" s="8"/>
      <c r="C14" s="8"/>
      <c r="D14" s="8"/>
      <c r="F14">
        <v>4</v>
      </c>
      <c r="G14">
        <v>5</v>
      </c>
    </row>
    <row r="16" spans="1:11" x14ac:dyDescent="0.25">
      <c r="F16" t="s">
        <v>7</v>
      </c>
      <c r="G16">
        <f>CORREL(F10:F14,G10:G14)</f>
        <v>0.92447345164190509</v>
      </c>
    </row>
    <row r="18" spans="1:5" x14ac:dyDescent="0.25">
      <c r="A18" s="1" t="s">
        <v>9</v>
      </c>
    </row>
    <row r="19" spans="1:5" x14ac:dyDescent="0.25">
      <c r="A19" s="8" t="s">
        <v>10</v>
      </c>
      <c r="B19" s="8"/>
      <c r="C19" s="8"/>
      <c r="D19" s="8"/>
      <c r="E19" s="8"/>
    </row>
  </sheetData>
  <mergeCells count="9">
    <mergeCell ref="A19:E19"/>
    <mergeCell ref="I4:J4"/>
    <mergeCell ref="A1:H2"/>
    <mergeCell ref="A6:F6"/>
    <mergeCell ref="A8:B8"/>
    <mergeCell ref="A9:D10"/>
    <mergeCell ref="A11:D12"/>
    <mergeCell ref="A13:D14"/>
    <mergeCell ref="F8:G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9418-610B-4438-8F31-62DA5DBBBE22}">
  <dimension ref="A2:G37"/>
  <sheetViews>
    <sheetView zoomScaleNormal="100" workbookViewId="0">
      <selection activeCell="Q25" sqref="Q25"/>
    </sheetView>
  </sheetViews>
  <sheetFormatPr defaultRowHeight="15" x14ac:dyDescent="0.25"/>
  <cols>
    <col min="4" max="4" width="15.140625" customWidth="1"/>
  </cols>
  <sheetData>
    <row r="2" spans="1:7" x14ac:dyDescent="0.25">
      <c r="B2" s="8" t="s">
        <v>11</v>
      </c>
      <c r="C2" s="8"/>
      <c r="D2" s="8"/>
      <c r="E2" s="8"/>
      <c r="F2" s="8"/>
    </row>
    <row r="3" spans="1:7" x14ac:dyDescent="0.25">
      <c r="B3" s="8"/>
      <c r="C3" s="8"/>
      <c r="D3" s="8"/>
      <c r="E3" s="8"/>
      <c r="F3" s="8"/>
    </row>
    <row r="4" spans="1:7" x14ac:dyDescent="0.25">
      <c r="B4" t="s">
        <v>1</v>
      </c>
      <c r="C4">
        <v>2</v>
      </c>
      <c r="D4">
        <v>7</v>
      </c>
      <c r="E4">
        <v>6</v>
      </c>
      <c r="F4">
        <v>9</v>
      </c>
      <c r="G4">
        <v>4</v>
      </c>
    </row>
    <row r="5" spans="1:7" x14ac:dyDescent="0.25">
      <c r="B5" t="s">
        <v>2</v>
      </c>
      <c r="C5">
        <v>2</v>
      </c>
      <c r="D5">
        <v>9</v>
      </c>
      <c r="E5">
        <v>8</v>
      </c>
      <c r="F5">
        <v>6</v>
      </c>
      <c r="G5">
        <v>5</v>
      </c>
    </row>
    <row r="7" spans="1:7" x14ac:dyDescent="0.25">
      <c r="B7" s="8" t="s">
        <v>12</v>
      </c>
      <c r="C7" s="8"/>
      <c r="D7" s="8"/>
      <c r="E7" s="8"/>
      <c r="F7" s="8"/>
      <c r="G7" s="8"/>
    </row>
    <row r="10" spans="1:7" x14ac:dyDescent="0.25">
      <c r="A10" s="9" t="s">
        <v>13</v>
      </c>
      <c r="B10" s="8"/>
      <c r="E10" s="9" t="s">
        <v>17</v>
      </c>
      <c r="F10" s="9"/>
    </row>
    <row r="11" spans="1:7" x14ac:dyDescent="0.25">
      <c r="A11" s="8" t="s">
        <v>14</v>
      </c>
      <c r="B11" s="8"/>
      <c r="C11" s="8"/>
      <c r="D11" s="8"/>
      <c r="E11" t="s">
        <v>1</v>
      </c>
      <c r="F11" t="s">
        <v>2</v>
      </c>
    </row>
    <row r="12" spans="1:7" x14ac:dyDescent="0.25">
      <c r="A12" s="8" t="s">
        <v>15</v>
      </c>
      <c r="B12" s="8"/>
      <c r="C12" s="8"/>
      <c r="D12" s="8"/>
      <c r="E12">
        <v>2</v>
      </c>
      <c r="F12">
        <v>2</v>
      </c>
    </row>
    <row r="13" spans="1:7" x14ac:dyDescent="0.25">
      <c r="A13" s="8" t="s">
        <v>16</v>
      </c>
      <c r="B13" s="8"/>
      <c r="C13" s="8"/>
      <c r="D13" s="8"/>
      <c r="E13">
        <v>7</v>
      </c>
      <c r="F13">
        <v>9</v>
      </c>
    </row>
    <row r="14" spans="1:7" x14ac:dyDescent="0.25">
      <c r="E14">
        <v>6</v>
      </c>
      <c r="F14">
        <v>8</v>
      </c>
    </row>
    <row r="15" spans="1:7" x14ac:dyDescent="0.25">
      <c r="E15">
        <v>3</v>
      </c>
      <c r="F15">
        <v>6</v>
      </c>
    </row>
    <row r="16" spans="1:7" x14ac:dyDescent="0.25">
      <c r="E16">
        <v>4</v>
      </c>
      <c r="F16">
        <v>5</v>
      </c>
    </row>
    <row r="18" spans="5:6" x14ac:dyDescent="0.25">
      <c r="E18" s="8" t="s">
        <v>23</v>
      </c>
      <c r="F18" s="8"/>
    </row>
    <row r="19" spans="5:6" x14ac:dyDescent="0.25">
      <c r="E19" s="8"/>
      <c r="F19" s="8"/>
    </row>
    <row r="20" spans="5:6" x14ac:dyDescent="0.25">
      <c r="E20" t="s">
        <v>24</v>
      </c>
      <c r="F20">
        <f>(1.22*10)+0.62</f>
        <v>12.819999999999999</v>
      </c>
    </row>
    <row r="36" spans="2:4" x14ac:dyDescent="0.25">
      <c r="B36" s="9" t="s">
        <v>9</v>
      </c>
      <c r="C36" s="8"/>
    </row>
    <row r="37" spans="2:4" x14ac:dyDescent="0.25">
      <c r="B37" s="8" t="s">
        <v>25</v>
      </c>
      <c r="C37" s="8"/>
      <c r="D37" t="s">
        <v>26</v>
      </c>
    </row>
  </sheetData>
  <mergeCells count="10">
    <mergeCell ref="A13:D13"/>
    <mergeCell ref="E10:F10"/>
    <mergeCell ref="E18:F19"/>
    <mergeCell ref="B36:C36"/>
    <mergeCell ref="B37:C37"/>
    <mergeCell ref="B2:F3"/>
    <mergeCell ref="B7:G7"/>
    <mergeCell ref="A10:B10"/>
    <mergeCell ref="A11:D11"/>
    <mergeCell ref="A12:D12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C71F3-EDAC-4C28-A1D6-182EE705764F}">
  <dimension ref="A1:H36"/>
  <sheetViews>
    <sheetView tabSelected="1" view="pageLayout" topLeftCell="A4" zoomScale="85" zoomScaleNormal="85" zoomScalePageLayoutView="85" workbookViewId="0">
      <selection activeCell="G15" sqref="G15"/>
    </sheetView>
  </sheetViews>
  <sheetFormatPr defaultRowHeight="15" x14ac:dyDescent="0.25"/>
  <cols>
    <col min="1" max="1" width="13.5703125" customWidth="1"/>
    <col min="2" max="2" width="13.140625" customWidth="1"/>
  </cols>
  <sheetData>
    <row r="1" spans="1:8" ht="20.25" thickBot="1" x14ac:dyDescent="0.3">
      <c r="A1" s="36" t="s">
        <v>35</v>
      </c>
    </row>
    <row r="2" spans="1:8" ht="20.25" thickBot="1" x14ac:dyDescent="0.3">
      <c r="A2" s="37" t="s">
        <v>1</v>
      </c>
      <c r="B2" s="38">
        <v>0</v>
      </c>
      <c r="C2" s="38">
        <v>1</v>
      </c>
      <c r="D2" s="38">
        <v>2</v>
      </c>
      <c r="E2" s="38">
        <v>3</v>
      </c>
      <c r="F2" s="38">
        <v>4</v>
      </c>
      <c r="G2" s="38">
        <v>5</v>
      </c>
    </row>
    <row r="3" spans="1:8" ht="20.25" thickBot="1" x14ac:dyDescent="0.3">
      <c r="A3" s="39" t="s">
        <v>27</v>
      </c>
      <c r="B3" s="40">
        <v>3</v>
      </c>
      <c r="C3" s="40">
        <v>7</v>
      </c>
      <c r="D3" s="40">
        <v>10</v>
      </c>
      <c r="E3" s="40">
        <v>15</v>
      </c>
      <c r="F3" s="40">
        <v>8</v>
      </c>
      <c r="G3" s="40">
        <v>2</v>
      </c>
    </row>
    <row r="4" spans="1:8" ht="19.5" customHeight="1" x14ac:dyDescent="0.25">
      <c r="A4" s="36"/>
      <c r="H4" s="5"/>
    </row>
    <row r="5" spans="1:8" ht="12.75" customHeight="1" x14ac:dyDescent="0.25">
      <c r="A5" s="36"/>
    </row>
    <row r="6" spans="1:8" ht="19.5" x14ac:dyDescent="0.25">
      <c r="A6" s="36" t="s">
        <v>4</v>
      </c>
    </row>
    <row r="7" spans="1:8" ht="28.5" customHeight="1" x14ac:dyDescent="0.25">
      <c r="A7" s="47">
        <v>1</v>
      </c>
      <c r="B7" s="46"/>
      <c r="C7" s="46"/>
    </row>
    <row r="8" spans="1:8" ht="21" x14ac:dyDescent="0.25">
      <c r="A8" s="41"/>
    </row>
    <row r="9" spans="1:8" ht="27" customHeight="1" x14ac:dyDescent="0.25">
      <c r="A9" s="41" t="s">
        <v>36</v>
      </c>
    </row>
    <row r="10" spans="1:8" x14ac:dyDescent="0.25">
      <c r="A10" s="42"/>
    </row>
    <row r="11" spans="1:8" ht="37.5" customHeight="1" x14ac:dyDescent="0.25">
      <c r="A11" s="43" t="s">
        <v>37</v>
      </c>
    </row>
    <row r="12" spans="1:8" ht="23.25" x14ac:dyDescent="0.25">
      <c r="A12" s="44" t="s">
        <v>38</v>
      </c>
    </row>
    <row r="13" spans="1:8" ht="21.75" x14ac:dyDescent="0.25">
      <c r="A13" s="45"/>
    </row>
    <row r="14" spans="1:8" ht="21.75" x14ac:dyDescent="0.25">
      <c r="A14" s="45"/>
    </row>
    <row r="15" spans="1:8" x14ac:dyDescent="0.25">
      <c r="B15" s="15"/>
      <c r="C15" s="16"/>
      <c r="D15" s="16"/>
      <c r="E15" s="16"/>
      <c r="F15" s="16"/>
    </row>
    <row r="16" spans="1:8" x14ac:dyDescent="0.25">
      <c r="B16" s="3"/>
      <c r="C16" s="3"/>
      <c r="D16" s="3"/>
      <c r="E16" s="3"/>
      <c r="F16" s="3"/>
    </row>
    <row r="17" spans="1:8" ht="19.5" x14ac:dyDescent="0.25">
      <c r="A17" s="4" t="s">
        <v>17</v>
      </c>
      <c r="B17" s="3"/>
      <c r="C17" s="5"/>
      <c r="D17" s="5"/>
      <c r="E17" s="5"/>
      <c r="F17" s="5"/>
    </row>
    <row r="18" spans="1:8" ht="15.75" thickBot="1" x14ac:dyDescent="0.3">
      <c r="B18" s="1"/>
    </row>
    <row r="19" spans="1:8" ht="20.25" thickBot="1" x14ac:dyDescent="0.3">
      <c r="B19" s="11" t="s">
        <v>1</v>
      </c>
      <c r="C19" s="25" t="s">
        <v>27</v>
      </c>
      <c r="D19" s="26" t="s">
        <v>28</v>
      </c>
      <c r="E19" s="26" t="s">
        <v>33</v>
      </c>
      <c r="F19" s="27" t="s">
        <v>34</v>
      </c>
    </row>
    <row r="20" spans="1:8" ht="19.5" x14ac:dyDescent="0.25">
      <c r="B20" s="10">
        <v>0</v>
      </c>
      <c r="C20" s="21">
        <v>10</v>
      </c>
      <c r="D20" s="22">
        <f>B20*C20</f>
        <v>0</v>
      </c>
      <c r="E20" s="23">
        <f>_xlfn.BINOM.DIST(B20,5,0.43,0)</f>
        <v>6.016920570000004E-2</v>
      </c>
      <c r="F20" s="24">
        <f>67*E20</f>
        <v>4.031336781900003</v>
      </c>
    </row>
    <row r="21" spans="1:8" ht="19.5" x14ac:dyDescent="0.25">
      <c r="B21" s="6">
        <v>1</v>
      </c>
      <c r="C21" s="17">
        <v>12</v>
      </c>
      <c r="D21" s="7">
        <f>B21*C21</f>
        <v>12</v>
      </c>
      <c r="E21" s="18">
        <f>_xlfn.BINOM.DIST(B21,5,0.43,0)</f>
        <v>0.22695402150000005</v>
      </c>
      <c r="F21" s="20">
        <f t="shared" ref="F21:F25" si="0">67*E21</f>
        <v>15.205919440500002</v>
      </c>
    </row>
    <row r="22" spans="1:8" ht="19.5" x14ac:dyDescent="0.25">
      <c r="B22" s="6">
        <v>2</v>
      </c>
      <c r="C22" s="17">
        <v>15</v>
      </c>
      <c r="D22" s="7">
        <f>B22*C22</f>
        <v>30</v>
      </c>
      <c r="E22" s="18">
        <f>_xlfn.BINOM.DIST(B22,5,0.43,0)</f>
        <v>0.34242185699999994</v>
      </c>
      <c r="F22" s="20">
        <f t="shared" si="0"/>
        <v>22.942264418999997</v>
      </c>
      <c r="G22" s="16"/>
      <c r="H22" s="16"/>
    </row>
    <row r="23" spans="1:8" ht="19.5" x14ac:dyDescent="0.25">
      <c r="B23" s="6">
        <v>3</v>
      </c>
      <c r="C23" s="17">
        <v>20</v>
      </c>
      <c r="D23" s="7">
        <f>B23*C23</f>
        <v>60</v>
      </c>
      <c r="E23" s="18">
        <f>_xlfn.BINOM.DIST(B23,5,0.43,0)</f>
        <v>0.25831824299999989</v>
      </c>
      <c r="F23" s="20">
        <f t="shared" si="0"/>
        <v>17.307322280999994</v>
      </c>
      <c r="G23" s="16"/>
      <c r="H23" s="16"/>
    </row>
    <row r="24" spans="1:8" ht="19.5" x14ac:dyDescent="0.25">
      <c r="A24" s="3"/>
      <c r="B24" s="6">
        <v>4</v>
      </c>
      <c r="C24" s="17">
        <v>8</v>
      </c>
      <c r="D24" s="7">
        <f>B24*C24</f>
        <v>32</v>
      </c>
      <c r="E24" s="18">
        <f>_xlfn.BINOM.DIST(B24,5,0.43,0)</f>
        <v>9.7435828500000002E-2</v>
      </c>
      <c r="F24" s="20">
        <f t="shared" si="0"/>
        <v>6.5282005095000004</v>
      </c>
      <c r="G24" s="3"/>
      <c r="H24" s="3"/>
    </row>
    <row r="25" spans="1:8" ht="20.25" thickBot="1" x14ac:dyDescent="0.3">
      <c r="B25" s="28">
        <v>5</v>
      </c>
      <c r="C25" s="29">
        <v>2</v>
      </c>
      <c r="D25" s="30">
        <f>B25*C25</f>
        <v>10</v>
      </c>
      <c r="E25" s="31">
        <f>_xlfn.BINOM.DIST(B25,5,0.43,0)</f>
        <v>1.4700844299999998E-2</v>
      </c>
      <c r="F25" s="32">
        <f t="shared" si="0"/>
        <v>0.98495656809999987</v>
      </c>
      <c r="G25" s="5"/>
      <c r="H25" s="5"/>
    </row>
    <row r="26" spans="1:8" ht="15.75" thickBot="1" x14ac:dyDescent="0.3">
      <c r="B26" s="12"/>
      <c r="C26" s="26">
        <f>SUM(C20:C25)</f>
        <v>67</v>
      </c>
      <c r="D26" s="26">
        <f>SUM(D20:D25)</f>
        <v>144</v>
      </c>
      <c r="E26" s="33">
        <f>SUM(E20:E25)</f>
        <v>1</v>
      </c>
      <c r="F26" s="34">
        <f>SUM(F20:F25)</f>
        <v>67</v>
      </c>
    </row>
    <row r="29" spans="1:8" x14ac:dyDescent="0.25">
      <c r="B29" t="s">
        <v>29</v>
      </c>
      <c r="C29" s="13">
        <f>D26/C26</f>
        <v>2.1492537313432836</v>
      </c>
      <c r="D29" t="s">
        <v>32</v>
      </c>
      <c r="E29">
        <v>2.15</v>
      </c>
    </row>
    <row r="30" spans="1:8" x14ac:dyDescent="0.25">
      <c r="B30" t="s">
        <v>30</v>
      </c>
      <c r="C30" s="13">
        <f>C29/5</f>
        <v>0.42985074626865671</v>
      </c>
    </row>
    <row r="31" spans="1:8" x14ac:dyDescent="0.25">
      <c r="B31" t="s">
        <v>31</v>
      </c>
      <c r="C31" s="13">
        <f>1-C30</f>
        <v>0.57014925373134329</v>
      </c>
    </row>
    <row r="33" spans="2:8" x14ac:dyDescent="0.25">
      <c r="B33" s="14"/>
      <c r="C33" s="14"/>
      <c r="D33" s="14"/>
      <c r="E33" s="14"/>
      <c r="F33" s="14"/>
    </row>
    <row r="34" spans="2:8" x14ac:dyDescent="0.25">
      <c r="B34" s="35" t="s">
        <v>9</v>
      </c>
      <c r="C34" s="35"/>
      <c r="F34" s="13"/>
    </row>
    <row r="35" spans="2:8" x14ac:dyDescent="0.25">
      <c r="B35" s="7" t="s">
        <v>1</v>
      </c>
      <c r="C35" s="19">
        <v>0</v>
      </c>
      <c r="D35" s="19">
        <v>1</v>
      </c>
      <c r="E35" s="19">
        <v>2</v>
      </c>
      <c r="F35" s="19">
        <v>3</v>
      </c>
      <c r="G35" s="19">
        <v>4</v>
      </c>
      <c r="H35" s="19">
        <v>5</v>
      </c>
    </row>
    <row r="36" spans="2:8" x14ac:dyDescent="0.25">
      <c r="B36" s="7" t="s">
        <v>34</v>
      </c>
      <c r="C36" s="19">
        <v>4.031336781900003</v>
      </c>
      <c r="D36" s="19">
        <v>15.205919440500002</v>
      </c>
      <c r="E36" s="19">
        <v>22.942264418999997</v>
      </c>
      <c r="F36" s="19">
        <v>17.307322280999994</v>
      </c>
      <c r="G36" s="19">
        <v>6.5282005095000004</v>
      </c>
      <c r="H36" s="19">
        <v>0.98495656809999987</v>
      </c>
    </row>
  </sheetData>
  <mergeCells count="2">
    <mergeCell ref="B34:C34"/>
    <mergeCell ref="B7:C7"/>
  </mergeCells>
  <pageMargins left="0.7" right="0.7" top="0.75" bottom="0.75" header="0.3" footer="0.3"/>
  <pageSetup paperSize="9" orientation="portrait" r:id="rId1"/>
  <headerFooter>
    <oddHeader xml:space="preserve">&amp;CUjwal Parajuli&amp;R
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2023-07-31T08:53:13Z</dcterms:created>
  <dcterms:modified xsi:type="dcterms:W3CDTF">2023-08-02T09:43:48Z</dcterms:modified>
</cp:coreProperties>
</file>